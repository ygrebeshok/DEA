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ulia/Desktop/my hw/climate risk/"/>
    </mc:Choice>
  </mc:AlternateContent>
  <xr:revisionPtr revIDLastSave="0" documentId="13_ncr:1_{2C5E84F8-7138-EA41-9A32-683C61EC9726}" xr6:coauthVersionLast="47" xr6:coauthVersionMax="47" xr10:uidLastSave="{00000000-0000-0000-0000-000000000000}"/>
  <bookViews>
    <workbookView xWindow="11940" yWindow="880" windowWidth="23920" windowHeight="17800" xr2:uid="{DF9B827D-3BAD-FB41-87DA-472129E9F7DA}"/>
  </bookViews>
  <sheets>
    <sheet name="CCR" sheetId="1" r:id="rId1"/>
    <sheet name="BCC" sheetId="2" r:id="rId2"/>
  </sheets>
  <definedNames>
    <definedName name="solver_adj" localSheetId="1" hidden="1">BCC!$B$37:$G$37,BCC!$B$39</definedName>
    <definedName name="solver_adj" localSheetId="0" hidden="1">CCR!$B$37:$G$37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2</definedName>
    <definedName name="solver_eng" localSheetId="0" hidden="1">2</definedName>
    <definedName name="solver_itr" localSheetId="1" hidden="1">2147483647</definedName>
    <definedName name="solver_itr" localSheetId="0" hidden="1">2147483647</definedName>
    <definedName name="solver_lhs1" localSheetId="1" hidden="1">BCC!$G$39</definedName>
    <definedName name="solver_lhs1" localSheetId="0" hidden="1">CCR!$F$2:$F$33</definedName>
    <definedName name="solver_lhs2" localSheetId="1" hidden="1">BCC!$H$2:$H$33</definedName>
    <definedName name="solver_lhs2" localSheetId="0" hidden="1">CCR!$F$2:$F$33</definedName>
    <definedName name="solver_lhs3" localSheetId="0" hidden="1">CCR!$G$39</definedName>
    <definedName name="solver_lhs4" localSheetId="0" hidden="1">CCR!$H$2:$H$33</definedName>
    <definedName name="solver_lin" localSheetId="1" hidden="1">1</definedName>
    <definedName name="solver_lin" localSheetId="0" hidden="1">1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2</definedName>
    <definedName name="solver_num" localSheetId="0" hidden="1">4</definedName>
    <definedName name="solver_opt" localSheetId="1" hidden="1">BCC!$G$35</definedName>
    <definedName name="solver_opt" localSheetId="0" hidden="1">CCR!$G$35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1</definedName>
    <definedName name="solver_rel2" localSheetId="1" hidden="1">1</definedName>
    <definedName name="solver_rel2" localSheetId="0" hidden="1">3</definedName>
    <definedName name="solver_rel3" localSheetId="0" hidden="1">2</definedName>
    <definedName name="solver_rel4" localSheetId="0" hidden="1">1</definedName>
    <definedName name="solver_rhs1" localSheetId="1" hidden="1">1</definedName>
    <definedName name="solver_rhs1" localSheetId="0" hidden="1">1</definedName>
    <definedName name="solver_rhs2" localSheetId="1" hidden="1">0</definedName>
    <definedName name="solver_rhs2" localSheetId="0" hidden="1">0</definedName>
    <definedName name="solver_rhs3" localSheetId="0" hidden="1">1</definedName>
    <definedName name="solver_rhs4" localSheetId="0" hidden="1">0</definedName>
    <definedName name="solver_rlx" localSheetId="1" hidden="1">2</definedName>
    <definedName name="solver_rlx" localSheetId="0" hidden="1">1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2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1" i="1" l="1"/>
  <c r="M40" i="1"/>
  <c r="G35" i="1"/>
  <c r="J39" i="1"/>
  <c r="J38" i="1"/>
  <c r="K40" i="2"/>
  <c r="K39" i="2"/>
  <c r="G33" i="2"/>
  <c r="G32" i="2"/>
  <c r="G31" i="2"/>
  <c r="G30" i="2"/>
  <c r="G29" i="2"/>
  <c r="G28" i="2"/>
  <c r="G27" i="2"/>
  <c r="G26" i="2"/>
  <c r="H26" i="2" s="1"/>
  <c r="G25" i="2"/>
  <c r="H25" i="2" s="1"/>
  <c r="G24" i="2"/>
  <c r="H24" i="2" s="1"/>
  <c r="G23" i="2"/>
  <c r="G22" i="2"/>
  <c r="G21" i="2"/>
  <c r="G20" i="2"/>
  <c r="G19" i="2"/>
  <c r="G17" i="2"/>
  <c r="G16" i="2"/>
  <c r="H16" i="2" s="1"/>
  <c r="G15" i="2"/>
  <c r="H15" i="2" s="1"/>
  <c r="G13" i="2"/>
  <c r="H13" i="2" s="1"/>
  <c r="G12" i="2"/>
  <c r="H12" i="2" s="1"/>
  <c r="G11" i="2"/>
  <c r="G10" i="2"/>
  <c r="G9" i="2"/>
  <c r="G8" i="2"/>
  <c r="G7" i="2"/>
  <c r="G6" i="2"/>
  <c r="G5" i="2"/>
  <c r="H5" i="2" s="1"/>
  <c r="G4" i="2"/>
  <c r="H4" i="2" s="1"/>
  <c r="G3" i="2"/>
  <c r="H3" i="2" s="1"/>
  <c r="G2" i="2"/>
  <c r="H2" i="2" s="1"/>
  <c r="G33" i="1"/>
  <c r="G32" i="1"/>
  <c r="G31" i="1"/>
  <c r="G30" i="1"/>
  <c r="G29" i="1"/>
  <c r="G28" i="1"/>
  <c r="G27" i="1"/>
  <c r="G26" i="1"/>
  <c r="H26" i="1" s="1"/>
  <c r="G25" i="1"/>
  <c r="G24" i="1"/>
  <c r="G23" i="1"/>
  <c r="G22" i="1"/>
  <c r="G21" i="1"/>
  <c r="G20" i="1"/>
  <c r="G19" i="1"/>
  <c r="G17" i="1"/>
  <c r="G16" i="1"/>
  <c r="G15" i="1"/>
  <c r="G13" i="1"/>
  <c r="G12" i="1"/>
  <c r="G11" i="1"/>
  <c r="G10" i="1"/>
  <c r="G9" i="1"/>
  <c r="G8" i="1"/>
  <c r="G7" i="1"/>
  <c r="G6" i="1"/>
  <c r="G5" i="1"/>
  <c r="G4" i="1"/>
  <c r="G3" i="1"/>
  <c r="G2" i="1"/>
  <c r="G39" i="2"/>
  <c r="G35" i="2"/>
  <c r="H6" i="2"/>
  <c r="H7" i="2"/>
  <c r="H8" i="2"/>
  <c r="H9" i="2"/>
  <c r="H10" i="2"/>
  <c r="H11" i="2"/>
  <c r="H14" i="2"/>
  <c r="H17" i="2"/>
  <c r="H18" i="2"/>
  <c r="H19" i="2"/>
  <c r="H20" i="2"/>
  <c r="H21" i="2"/>
  <c r="H22" i="2"/>
  <c r="H23" i="2"/>
  <c r="H27" i="2"/>
  <c r="H28" i="2"/>
  <c r="H29" i="2"/>
  <c r="H30" i="2"/>
  <c r="H31" i="2"/>
  <c r="H32" i="2"/>
  <c r="H33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B3" i="2"/>
  <c r="F2" i="2"/>
  <c r="H6" i="1"/>
  <c r="H7" i="1"/>
  <c r="H8" i="1"/>
  <c r="H9" i="1"/>
  <c r="H16" i="1"/>
  <c r="H17" i="1"/>
  <c r="H18" i="1"/>
  <c r="H19" i="1"/>
  <c r="H27" i="1"/>
  <c r="H28" i="1"/>
  <c r="H29" i="1"/>
  <c r="G39" i="1"/>
  <c r="F33" i="1"/>
  <c r="H33" i="1" s="1"/>
  <c r="F32" i="1"/>
  <c r="H32" i="1" s="1"/>
  <c r="F31" i="1"/>
  <c r="H31" i="1" s="1"/>
  <c r="F30" i="1"/>
  <c r="H30" i="1" s="1"/>
  <c r="F29" i="1"/>
  <c r="F28" i="1"/>
  <c r="F27" i="1"/>
  <c r="F26" i="1"/>
  <c r="F25" i="1"/>
  <c r="H25" i="1" s="1"/>
  <c r="F24" i="1"/>
  <c r="H24" i="1" s="1"/>
  <c r="F23" i="1"/>
  <c r="H23" i="1" s="1"/>
  <c r="F22" i="1"/>
  <c r="H22" i="1" s="1"/>
  <c r="F21" i="1"/>
  <c r="F20" i="1"/>
  <c r="H20" i="1" s="1"/>
  <c r="F19" i="1"/>
  <c r="F18" i="1"/>
  <c r="F17" i="1"/>
  <c r="F16" i="1"/>
  <c r="F15" i="1"/>
  <c r="H15" i="1" s="1"/>
  <c r="F14" i="1"/>
  <c r="H14" i="1" s="1"/>
  <c r="F13" i="1"/>
  <c r="H13" i="1" s="1"/>
  <c r="F12" i="1"/>
  <c r="H12" i="1" s="1"/>
  <c r="F11" i="1"/>
  <c r="H11" i="1" s="1"/>
  <c r="F10" i="1"/>
  <c r="H10" i="1" s="1"/>
  <c r="F9" i="1"/>
  <c r="F8" i="1"/>
  <c r="F7" i="1"/>
  <c r="F6" i="1"/>
  <c r="F5" i="1"/>
  <c r="H5" i="1" s="1"/>
  <c r="F4" i="1"/>
  <c r="H4" i="1" s="1"/>
  <c r="B3" i="1"/>
  <c r="F3" i="1"/>
  <c r="H3" i="1" s="1"/>
  <c r="F2" i="1"/>
  <c r="H21" i="1" l="1"/>
</calcChain>
</file>

<file path=xl/sharedStrings.xml><?xml version="1.0" encoding="utf-8"?>
<sst xmlns="http://schemas.openxmlformats.org/spreadsheetml/2006/main" count="113" uniqueCount="54">
  <si>
    <t>DMU</t>
  </si>
  <si>
    <t>Northeastern University</t>
  </si>
  <si>
    <t>Bentley University</t>
  </si>
  <si>
    <t>Boston College</t>
  </si>
  <si>
    <t>Boston University</t>
  </si>
  <si>
    <t>Clark University</t>
  </si>
  <si>
    <t>Emerson College</t>
  </si>
  <si>
    <t>Franklin W Olin College</t>
  </si>
  <si>
    <t>MIT</t>
  </si>
  <si>
    <t>Index</t>
  </si>
  <si>
    <t>Constraints</t>
  </si>
  <si>
    <t>Weights</t>
  </si>
  <si>
    <t>Objective</t>
  </si>
  <si>
    <t>Constraint</t>
  </si>
  <si>
    <t>Smith College</t>
  </si>
  <si>
    <t>Tufts University</t>
  </si>
  <si>
    <t>UMASS Amherst</t>
  </si>
  <si>
    <t>UMASS Dartmouth</t>
  </si>
  <si>
    <t>UMASS Lowell</t>
  </si>
  <si>
    <t>UMASS Medical School</t>
  </si>
  <si>
    <t>Wentworth Institute of Tech</t>
  </si>
  <si>
    <t>Williams College</t>
  </si>
  <si>
    <t>Worcester Polytech Institute</t>
  </si>
  <si>
    <t>Connecticut College</t>
  </si>
  <si>
    <t>Eastern Connecticut University</t>
  </si>
  <si>
    <t>Quinnipiac University</t>
  </si>
  <si>
    <t>Omitted HEI</t>
  </si>
  <si>
    <t>University of Connecticut</t>
  </si>
  <si>
    <t>Yale University</t>
  </si>
  <si>
    <t>Bates College</t>
  </si>
  <si>
    <t>College of the Atlantic</t>
  </si>
  <si>
    <t>Saint Josephs College</t>
  </si>
  <si>
    <t>Keene State College</t>
  </si>
  <si>
    <t>University of New Hampshire</t>
  </si>
  <si>
    <t>Bryant University</t>
  </si>
  <si>
    <t>Roger Williams University</t>
  </si>
  <si>
    <t>Bennington College</t>
  </si>
  <si>
    <t>Champlain College</t>
  </si>
  <si>
    <t>Middlebury College</t>
  </si>
  <si>
    <t>Saint Michaels College</t>
  </si>
  <si>
    <t>Sterling College</t>
  </si>
  <si>
    <t>University of Vermont</t>
  </si>
  <si>
    <t>Optimal Theta</t>
  </si>
  <si>
    <t>Optimal Weights</t>
  </si>
  <si>
    <t>Total Energy Consumption, MMBtu</t>
  </si>
  <si>
    <t>Full-time Equivalent of Employees</t>
  </si>
  <si>
    <t>Total Full-time Equivalent Student Enrollments</t>
  </si>
  <si>
    <t>Inverse of Gross Scope 1 and 2 GHG emissions, metric tons</t>
  </si>
  <si>
    <t>Total Floor Area of Newly Constructed or Renovated, sq. ft.</t>
  </si>
  <si>
    <t>Efficient</t>
  </si>
  <si>
    <t>Weight w</t>
  </si>
  <si>
    <t>Waste Recycled and Composted, tones</t>
  </si>
  <si>
    <t>Median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</si>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</sst>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0"/>
  </numFmts>
  <fonts count="6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Avenir Book"/>
      <family val="2"/>
    </font>
    <font>
      <sz val="12"/>
      <color theme="1"/>
      <name val="Avenir Medium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rgb="FF00B050"/>
      </bottom>
      <diagonal/>
    </border>
    <border>
      <left/>
      <right/>
      <top/>
      <bottom style="thin">
        <color rgb="FF00B050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indexed="64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/>
      <top style="thin">
        <color rgb="FF00B050"/>
      </top>
      <bottom style="thin">
        <color indexed="64"/>
      </bottom>
      <diagonal/>
    </border>
    <border>
      <left/>
      <right/>
      <top style="thin">
        <color rgb="FF00B050"/>
      </top>
      <bottom style="thin">
        <color indexed="64"/>
      </bottom>
      <diagonal/>
    </border>
    <border>
      <left style="thin">
        <color rgb="FF00B050"/>
      </left>
      <right/>
      <top style="thin">
        <color indexed="64"/>
      </top>
      <bottom/>
      <diagonal/>
    </border>
    <border>
      <left style="thin">
        <color rgb="FF00B050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00B050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/>
      <top style="thin">
        <color rgb="FF00B050"/>
      </top>
      <bottom/>
      <diagonal/>
    </border>
    <border>
      <left/>
      <right/>
      <top style="thin">
        <color rgb="FF00B050"/>
      </top>
      <bottom/>
      <diagonal/>
    </border>
    <border>
      <left/>
      <right style="thin">
        <color theme="1"/>
      </right>
      <top style="thin">
        <color rgb="FF00B05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0" fontId="0" fillId="2" borderId="2" xfId="0" applyFill="1" applyBorder="1" applyAlignment="1">
      <alignment wrapText="1"/>
    </xf>
    <xf numFmtId="0" fontId="0" fillId="2" borderId="3" xfId="0" applyFill="1" applyBorder="1"/>
    <xf numFmtId="0" fontId="0" fillId="2" borderId="2" xfId="0" applyFill="1" applyBorder="1"/>
    <xf numFmtId="0" fontId="0" fillId="0" borderId="0" xfId="0" applyAlignment="1">
      <alignment wrapText="1"/>
    </xf>
    <xf numFmtId="0" fontId="0" fillId="0" borderId="5" xfId="0" applyBorder="1"/>
    <xf numFmtId="0" fontId="0" fillId="0" borderId="2" xfId="0" applyBorder="1" applyAlignment="1">
      <alignment wrapText="1"/>
    </xf>
    <xf numFmtId="2" fontId="0" fillId="0" borderId="0" xfId="0" applyNumberFormat="1" applyAlignment="1">
      <alignment wrapText="1"/>
    </xf>
    <xf numFmtId="2" fontId="0" fillId="0" borderId="4" xfId="0" applyNumberFormat="1" applyBorder="1" applyAlignment="1">
      <alignment wrapText="1"/>
    </xf>
    <xf numFmtId="0" fontId="0" fillId="0" borderId="4" xfId="0" applyBorder="1" applyAlignment="1">
      <alignment wrapText="1"/>
    </xf>
    <xf numFmtId="1" fontId="0" fillId="0" borderId="4" xfId="0" applyNumberFormat="1" applyBorder="1" applyAlignment="1">
      <alignment wrapText="1"/>
    </xf>
    <xf numFmtId="164" fontId="0" fillId="0" borderId="4" xfId="0" applyNumberFormat="1" applyBorder="1" applyAlignment="1">
      <alignment wrapText="1"/>
    </xf>
    <xf numFmtId="0" fontId="0" fillId="0" borderId="10" xfId="0" applyBorder="1"/>
    <xf numFmtId="0" fontId="0" fillId="0" borderId="9" xfId="0" applyBorder="1"/>
    <xf numFmtId="1" fontId="0" fillId="2" borderId="6" xfId="0" applyNumberFormat="1" applyFill="1" applyBorder="1"/>
    <xf numFmtId="0" fontId="0" fillId="4" borderId="8" xfId="0" applyFill="1" applyBorder="1"/>
    <xf numFmtId="1" fontId="0" fillId="2" borderId="7" xfId="0" applyNumberFormat="1" applyFill="1" applyBorder="1"/>
    <xf numFmtId="0" fontId="0" fillId="3" borderId="2" xfId="0" applyFill="1" applyBorder="1"/>
    <xf numFmtId="0" fontId="0" fillId="0" borderId="12" xfId="0" applyBorder="1"/>
    <xf numFmtId="0" fontId="0" fillId="0" borderId="12" xfId="0" applyBorder="1" applyAlignment="1">
      <alignment wrapText="1"/>
    </xf>
    <xf numFmtId="1" fontId="0" fillId="2" borderId="11" xfId="0" applyNumberFormat="1" applyFill="1" applyBorder="1"/>
    <xf numFmtId="0" fontId="0" fillId="0" borderId="14" xfId="0" applyBorder="1" applyAlignment="1">
      <alignment wrapText="1"/>
    </xf>
    <xf numFmtId="1" fontId="0" fillId="2" borderId="15" xfId="0" applyNumberFormat="1" applyFill="1" applyBorder="1"/>
    <xf numFmtId="0" fontId="0" fillId="0" borderId="14" xfId="0" applyBorder="1"/>
    <xf numFmtId="0" fontId="3" fillId="0" borderId="13" xfId="0" applyFont="1" applyBorder="1"/>
    <xf numFmtId="0" fontId="0" fillId="0" borderId="16" xfId="0" applyBorder="1"/>
    <xf numFmtId="0" fontId="0" fillId="0" borderId="17" xfId="0" applyBorder="1" applyAlignment="1">
      <alignment wrapText="1"/>
    </xf>
    <xf numFmtId="0" fontId="0" fillId="0" borderId="18" xfId="0" applyBorder="1"/>
    <xf numFmtId="0" fontId="0" fillId="0" borderId="19" xfId="0" applyBorder="1"/>
    <xf numFmtId="0" fontId="0" fillId="0" borderId="21" xfId="0" applyBorder="1" applyAlignment="1">
      <alignment wrapText="1"/>
    </xf>
    <xf numFmtId="0" fontId="0" fillId="0" borderId="21" xfId="0" applyBorder="1"/>
    <xf numFmtId="0" fontId="0" fillId="0" borderId="23" xfId="0" applyBorder="1"/>
    <xf numFmtId="0" fontId="0" fillId="0" borderId="25" xfId="0" applyBorder="1"/>
    <xf numFmtId="0" fontId="0" fillId="2" borderId="24" xfId="0" applyFill="1" applyBorder="1"/>
    <xf numFmtId="0" fontId="0" fillId="0" borderId="22" xfId="0" applyBorder="1" applyAlignment="1">
      <alignment wrapText="1"/>
    </xf>
    <xf numFmtId="164" fontId="0" fillId="2" borderId="2" xfId="0" applyNumberFormat="1" applyFill="1" applyBorder="1"/>
    <xf numFmtId="165" fontId="0" fillId="2" borderId="20" xfId="0" applyNumberFormat="1" applyFill="1" applyBorder="1"/>
    <xf numFmtId="165" fontId="0" fillId="2" borderId="22" xfId="0" applyNumberFormat="1" applyFill="1" applyBorder="1"/>
    <xf numFmtId="165" fontId="0" fillId="2" borderId="26" xfId="0" applyNumberFormat="1" applyFill="1" applyBorder="1"/>
    <xf numFmtId="0" fontId="0" fillId="0" borderId="28" xfId="0" applyBorder="1" applyAlignment="1">
      <alignment wrapText="1"/>
    </xf>
    <xf numFmtId="165" fontId="0" fillId="2" borderId="29" xfId="0" applyNumberFormat="1" applyFill="1" applyBorder="1"/>
    <xf numFmtId="0" fontId="3" fillId="0" borderId="27" xfId="0" applyFont="1" applyBorder="1"/>
    <xf numFmtId="0" fontId="0" fillId="0" borderId="30" xfId="0" applyBorder="1"/>
    <xf numFmtId="2" fontId="0" fillId="0" borderId="0" xfId="0" applyNumberFormat="1"/>
    <xf numFmtId="0" fontId="4" fillId="0" borderId="4" xfId="0" applyFont="1" applyBorder="1" applyAlignment="1">
      <alignment wrapText="1"/>
    </xf>
    <xf numFmtId="1" fontId="4" fillId="0" borderId="4" xfId="0" applyNumberFormat="1" applyFont="1" applyBorder="1" applyAlignment="1">
      <alignment wrapText="1"/>
    </xf>
    <xf numFmtId="2" fontId="4" fillId="0" borderId="4" xfId="0" applyNumberFormat="1" applyFont="1" applyBorder="1" applyAlignment="1">
      <alignment wrapText="1"/>
    </xf>
    <xf numFmtId="164" fontId="4" fillId="0" borderId="4" xfId="0" applyNumberFormat="1" applyFont="1" applyBorder="1" applyAlignment="1">
      <alignment wrapText="1"/>
    </xf>
    <xf numFmtId="0" fontId="4" fillId="0" borderId="0" xfId="0" applyFont="1"/>
    <xf numFmtId="0" fontId="4" fillId="0" borderId="0" xfId="0" applyFont="1" applyAlignment="1">
      <alignment wrapText="1"/>
    </xf>
    <xf numFmtId="0" fontId="5" fillId="0" borderId="31" xfId="0" applyFont="1" applyBorder="1"/>
    <xf numFmtId="0" fontId="5" fillId="0" borderId="32" xfId="0" applyFont="1" applyBorder="1" applyAlignment="1">
      <alignment horizontal="right" vertical="top" wrapText="1"/>
    </xf>
    <xf numFmtId="0" fontId="5" fillId="0" borderId="33" xfId="0" applyFont="1" applyBorder="1" applyAlignment="1">
      <alignment horizontal="right" vertical="top" wrapText="1"/>
    </xf>
    <xf numFmtId="0" fontId="4" fillId="0" borderId="34" xfId="0" applyFont="1" applyBorder="1"/>
    <xf numFmtId="2" fontId="4" fillId="0" borderId="35" xfId="0" applyNumberFormat="1" applyFont="1" applyBorder="1" applyAlignment="1">
      <alignment wrapText="1"/>
    </xf>
    <xf numFmtId="0" fontId="4" fillId="0" borderId="36" xfId="0" applyFont="1" applyBorder="1"/>
    <xf numFmtId="2" fontId="4" fillId="0" borderId="0" xfId="0" applyNumberFormat="1" applyFont="1" applyAlignment="1">
      <alignment wrapText="1"/>
    </xf>
    <xf numFmtId="0" fontId="4" fillId="0" borderId="20" xfId="0" applyFont="1" applyBorder="1" applyAlignment="1">
      <alignment wrapText="1"/>
    </xf>
    <xf numFmtId="0" fontId="4" fillId="0" borderId="20" xfId="0" applyFont="1" applyBorder="1"/>
    <xf numFmtId="0" fontId="4" fillId="0" borderId="0" xfId="0" applyFont="1" applyAlignment="1">
      <alignment vertical="center" wrapText="1"/>
    </xf>
    <xf numFmtId="0" fontId="4" fillId="0" borderId="37" xfId="0" applyFont="1" applyBorder="1"/>
    <xf numFmtId="0" fontId="4" fillId="0" borderId="21" xfId="0" applyFont="1" applyBorder="1" applyAlignment="1">
      <alignment wrapText="1"/>
    </xf>
    <xf numFmtId="0" fontId="4" fillId="0" borderId="21" xfId="0" applyFont="1" applyBorder="1"/>
    <xf numFmtId="0" fontId="4" fillId="0" borderId="22" xfId="0" applyFont="1" applyBorder="1"/>
    <xf numFmtId="0" fontId="0" fillId="0" borderId="2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35</xdr:row>
          <xdr:rowOff>25400</xdr:rowOff>
        </xdr:from>
        <xdr:to>
          <xdr:col>8</xdr:col>
          <xdr:colOff>482600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efficiency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35</xdr:row>
          <xdr:rowOff>12700</xdr:rowOff>
        </xdr:from>
        <xdr:to>
          <xdr:col>8</xdr:col>
          <xdr:colOff>152400</xdr:colOff>
          <xdr:row>36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Efficiency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CAAB0-D9D9-A840-9F58-A625ACCBA3DC}">
  <sheetPr codeName="Sheet1"/>
  <dimension ref="A1:P49"/>
  <sheetViews>
    <sheetView tabSelected="1" zoomScale="83" workbookViewId="0">
      <selection activeCell="B42" sqref="B42"/>
    </sheetView>
  </sheetViews>
  <sheetFormatPr baseColWidth="10" defaultRowHeight="16" x14ac:dyDescent="0.2"/>
  <cols>
    <col min="1" max="1" width="26.1640625" customWidth="1"/>
    <col min="2" max="2" width="23.83203125" customWidth="1"/>
    <col min="3" max="3" width="21.6640625" customWidth="1"/>
    <col min="4" max="4" width="28.1640625" customWidth="1"/>
    <col min="5" max="5" width="23" customWidth="1"/>
    <col min="6" max="6" width="26.83203125" customWidth="1"/>
    <col min="7" max="7" width="17.83203125" customWidth="1"/>
    <col min="8" max="8" width="17.6640625" customWidth="1"/>
    <col min="10" max="10" width="17.5" customWidth="1"/>
    <col min="11" max="11" width="17.6640625" customWidth="1"/>
    <col min="12" max="12" width="15.6640625" customWidth="1"/>
    <col min="13" max="13" width="16.83203125" customWidth="1"/>
    <col min="14" max="14" width="16.6640625" customWidth="1"/>
    <col min="15" max="15" width="18.6640625" customWidth="1"/>
    <col min="16" max="16" width="16.83203125" customWidth="1"/>
  </cols>
  <sheetData>
    <row r="1" spans="1:16" ht="60" customHeight="1" x14ac:dyDescent="0.25">
      <c r="A1" s="51" t="s">
        <v>0</v>
      </c>
      <c r="B1" s="52" t="s">
        <v>46</v>
      </c>
      <c r="C1" s="52" t="s">
        <v>45</v>
      </c>
      <c r="D1" s="52" t="s">
        <v>48</v>
      </c>
      <c r="E1" s="52" t="s">
        <v>44</v>
      </c>
      <c r="F1" s="52" t="s">
        <v>47</v>
      </c>
      <c r="G1" s="53" t="s">
        <v>51</v>
      </c>
      <c r="H1" s="7" t="s">
        <v>10</v>
      </c>
      <c r="J1" s="43" t="s">
        <v>42</v>
      </c>
      <c r="K1" s="43" t="s">
        <v>43</v>
      </c>
      <c r="L1" s="43" t="s">
        <v>43</v>
      </c>
      <c r="M1" s="43" t="s">
        <v>43</v>
      </c>
      <c r="N1" s="43" t="s">
        <v>43</v>
      </c>
      <c r="O1" s="43" t="s">
        <v>43</v>
      </c>
      <c r="P1" s="43" t="s">
        <v>43</v>
      </c>
    </row>
    <row r="2" spans="1:16" ht="17" x14ac:dyDescent="0.25">
      <c r="A2" s="54" t="s">
        <v>2</v>
      </c>
      <c r="B2" s="45">
        <v>5170</v>
      </c>
      <c r="C2" s="45">
        <v>978</v>
      </c>
      <c r="D2" s="46">
        <v>164493</v>
      </c>
      <c r="E2" s="47">
        <v>142082.41</v>
      </c>
      <c r="F2" s="48">
        <f>1/9625</f>
        <v>1.038961038961039E-4</v>
      </c>
      <c r="G2" s="55">
        <f>373.7+196.5</f>
        <v>570.20000000000005</v>
      </c>
      <c r="H2" s="15"/>
      <c r="J2" s="43">
        <v>0.93500000000000005</v>
      </c>
      <c r="K2" s="43">
        <v>0</v>
      </c>
      <c r="L2" s="43">
        <v>8.0455166724434455E-4</v>
      </c>
      <c r="M2" s="43">
        <v>6.6964020591152694E-7</v>
      </c>
      <c r="N2" s="43">
        <v>7.2491269710322456E-7</v>
      </c>
      <c r="O2" s="43">
        <v>0</v>
      </c>
      <c r="P2" s="43">
        <v>1.6398337276747898E-3</v>
      </c>
    </row>
    <row r="3" spans="1:16" ht="17" x14ac:dyDescent="0.25">
      <c r="A3" s="56" t="s">
        <v>3</v>
      </c>
      <c r="B3" s="57">
        <f>13663.33</f>
        <v>13663.33</v>
      </c>
      <c r="C3" s="50">
        <v>3741</v>
      </c>
      <c r="D3" s="50">
        <v>373006</v>
      </c>
      <c r="E3" s="50">
        <v>703347</v>
      </c>
      <c r="F3" s="50">
        <f>1/24685</f>
        <v>4.0510431436094793E-5</v>
      </c>
      <c r="G3" s="58">
        <f>1384.82+385.16</f>
        <v>1769.98</v>
      </c>
      <c r="H3" s="15">
        <f>SUMPRODUCT(F3:G3,F$37:G$37)-SUMPRODUCT(B3:E3,B$37:E$37)</f>
        <v>-0.19672630533412827</v>
      </c>
      <c r="J3" s="43">
        <v>0.87390000000000001</v>
      </c>
      <c r="K3" s="43">
        <v>5.0135854222210105E-5</v>
      </c>
      <c r="L3" s="43">
        <v>0</v>
      </c>
      <c r="M3" s="43">
        <v>7.4276929808193881E-7</v>
      </c>
      <c r="N3" s="43">
        <v>5.3913465372992501E-8</v>
      </c>
      <c r="O3" s="43">
        <v>0</v>
      </c>
      <c r="P3" s="43">
        <v>4.9374332378362929E-4</v>
      </c>
    </row>
    <row r="4" spans="1:16" ht="17" x14ac:dyDescent="0.25">
      <c r="A4" s="56" t="s">
        <v>4</v>
      </c>
      <c r="B4" s="50">
        <v>27832</v>
      </c>
      <c r="C4" s="50">
        <v>9633</v>
      </c>
      <c r="D4" s="50">
        <v>1335645</v>
      </c>
      <c r="E4" s="50">
        <v>1753340.65</v>
      </c>
      <c r="F4" s="50">
        <f>1/99155</f>
        <v>1.0085220109928899E-5</v>
      </c>
      <c r="G4" s="58">
        <f>2018+1255</f>
        <v>3273</v>
      </c>
      <c r="H4" s="15">
        <f t="shared" ref="H4:H33" si="0">SUMPRODUCT(F4:G4,F$37:G$37)-SUMPRODUCT(B4:E4,B$37:E$37)</f>
        <v>-0.80642101547236544</v>
      </c>
      <c r="J4" s="43">
        <v>0.65110000000000001</v>
      </c>
      <c r="K4" s="43">
        <v>2.0199895150069799E-5</v>
      </c>
      <c r="L4" s="43">
        <v>0</v>
      </c>
      <c r="M4" s="43">
        <v>2.9926411297285549E-7</v>
      </c>
      <c r="N4" s="43">
        <v>2.1721906699435594E-8</v>
      </c>
      <c r="O4" s="43">
        <v>0</v>
      </c>
      <c r="P4" s="43">
        <v>1.9893075576755595E-4</v>
      </c>
    </row>
    <row r="5" spans="1:16" ht="17" x14ac:dyDescent="0.25">
      <c r="A5" s="56" t="s">
        <v>5</v>
      </c>
      <c r="B5" s="50">
        <v>3250</v>
      </c>
      <c r="C5" s="50">
        <v>770</v>
      </c>
      <c r="D5" s="50">
        <v>37930</v>
      </c>
      <c r="E5" s="50">
        <v>186617.5</v>
      </c>
      <c r="F5" s="50">
        <f>1/10303</f>
        <v>9.7059108997379407E-5</v>
      </c>
      <c r="G5" s="58">
        <f>157+7</f>
        <v>164</v>
      </c>
      <c r="H5" s="15">
        <f t="shared" si="0"/>
        <v>-0.15630913871588328</v>
      </c>
      <c r="J5" s="43">
        <v>0.40479999999999999</v>
      </c>
      <c r="K5" s="43">
        <v>2.5678020728151001E-4</v>
      </c>
      <c r="L5" s="43">
        <v>0</v>
      </c>
      <c r="M5" s="43">
        <v>4.3623603041152845E-6</v>
      </c>
      <c r="N5" s="43">
        <v>0</v>
      </c>
      <c r="O5" s="43">
        <v>24.734136097785342</v>
      </c>
      <c r="P5" s="43">
        <v>2.4537660591742992E-3</v>
      </c>
    </row>
    <row r="6" spans="1:16" ht="17" x14ac:dyDescent="0.25">
      <c r="A6" s="56" t="s">
        <v>6</v>
      </c>
      <c r="B6" s="50">
        <v>5612.5</v>
      </c>
      <c r="C6" s="50">
        <v>1459.5</v>
      </c>
      <c r="D6" s="50">
        <v>597124</v>
      </c>
      <c r="E6" s="50">
        <v>118007.61</v>
      </c>
      <c r="F6" s="50">
        <f>1/3033.46</f>
        <v>3.2965656379184167E-4</v>
      </c>
      <c r="G6" s="58">
        <f>94.27+5.96</f>
        <v>100.22999999999999</v>
      </c>
      <c r="H6" s="15">
        <f t="shared" si="0"/>
        <v>-0.27606039349842804</v>
      </c>
      <c r="J6" s="43">
        <v>0.1361</v>
      </c>
      <c r="K6" s="43">
        <v>1.0807147355893409E-4</v>
      </c>
      <c r="L6" s="43">
        <v>0</v>
      </c>
      <c r="M6" s="43">
        <v>0</v>
      </c>
      <c r="N6" s="43">
        <v>3.3340973065252529E-6</v>
      </c>
      <c r="O6" s="43">
        <v>0</v>
      </c>
      <c r="P6" s="43">
        <v>1.3581886308807213E-3</v>
      </c>
    </row>
    <row r="7" spans="1:16" ht="17" x14ac:dyDescent="0.25">
      <c r="A7" s="56" t="s">
        <v>7</v>
      </c>
      <c r="B7" s="50">
        <v>361</v>
      </c>
      <c r="C7" s="50">
        <v>128</v>
      </c>
      <c r="D7" s="50">
        <v>394877</v>
      </c>
      <c r="E7" s="50">
        <v>48457.46</v>
      </c>
      <c r="F7" s="50">
        <f>1/2840.95</f>
        <v>3.5199493127298972E-4</v>
      </c>
      <c r="G7" s="58">
        <f>37.68+36.28</f>
        <v>73.960000000000008</v>
      </c>
      <c r="H7" s="23">
        <f t="shared" si="0"/>
        <v>-5.8755324309939738E-2</v>
      </c>
      <c r="I7" s="24"/>
      <c r="J7" s="43">
        <v>1</v>
      </c>
      <c r="K7" s="43">
        <v>2.2871416081703465E-3</v>
      </c>
      <c r="L7" s="43">
        <v>1.3620459332070699E-3</v>
      </c>
      <c r="M7" s="43">
        <v>0</v>
      </c>
      <c r="N7" s="43">
        <v>0</v>
      </c>
      <c r="O7" s="43">
        <v>0</v>
      </c>
      <c r="P7" s="43">
        <v>1.3520822065988418E-2</v>
      </c>
    </row>
    <row r="8" spans="1:16" ht="17" x14ac:dyDescent="0.25">
      <c r="A8" s="56" t="s">
        <v>8</v>
      </c>
      <c r="B8" s="50">
        <v>11261</v>
      </c>
      <c r="C8" s="50">
        <v>10239</v>
      </c>
      <c r="D8" s="50">
        <v>1751098</v>
      </c>
      <c r="E8" s="50">
        <v>2990334.2</v>
      </c>
      <c r="F8" s="50">
        <f>1/153805</f>
        <v>6.5017392152400767E-6</v>
      </c>
      <c r="G8" s="58">
        <f>873.94+360.15</f>
        <v>1234.0900000000001</v>
      </c>
      <c r="H8" s="15">
        <f t="shared" si="0"/>
        <v>-1.9582591300315859</v>
      </c>
      <c r="J8" s="43">
        <v>0.4511</v>
      </c>
      <c r="K8" s="43">
        <v>6.4952274143391755E-5</v>
      </c>
      <c r="L8" s="43">
        <v>2.612606757397725E-5</v>
      </c>
      <c r="M8" s="43">
        <v>6.0969459237136124E-10</v>
      </c>
      <c r="N8" s="43">
        <v>0</v>
      </c>
      <c r="O8" s="43">
        <v>0</v>
      </c>
      <c r="P8" s="43">
        <v>3.6550381269333406E-4</v>
      </c>
    </row>
    <row r="9" spans="1:16" ht="17" x14ac:dyDescent="0.25">
      <c r="A9" s="56" t="s">
        <v>14</v>
      </c>
      <c r="B9" s="50">
        <v>3076</v>
      </c>
      <c r="C9" s="50">
        <v>1259</v>
      </c>
      <c r="D9" s="50">
        <v>191790</v>
      </c>
      <c r="E9" s="50">
        <v>361026.09</v>
      </c>
      <c r="F9" s="49">
        <f>1/23077.82</f>
        <v>4.3331649176568671E-5</v>
      </c>
      <c r="G9" s="59">
        <f>235.2+375.78</f>
        <v>610.98</v>
      </c>
      <c r="H9" s="15">
        <f t="shared" si="0"/>
        <v>-0.10078030969793036</v>
      </c>
      <c r="J9" s="43">
        <v>0.9819</v>
      </c>
      <c r="K9" s="43">
        <v>1.8748961722625011E-4</v>
      </c>
      <c r="L9" s="43">
        <v>0</v>
      </c>
      <c r="M9" s="43">
        <v>2.2070073382973801E-6</v>
      </c>
      <c r="N9" s="43">
        <v>0</v>
      </c>
      <c r="O9" s="43">
        <v>0</v>
      </c>
      <c r="P9" s="43">
        <v>1.6070866598421176E-3</v>
      </c>
    </row>
    <row r="10" spans="1:16" ht="17" x14ac:dyDescent="0.25">
      <c r="A10" s="56" t="s">
        <v>15</v>
      </c>
      <c r="B10" s="50">
        <v>11619</v>
      </c>
      <c r="C10" s="50">
        <v>4497</v>
      </c>
      <c r="D10" s="50">
        <v>150000</v>
      </c>
      <c r="E10" s="50">
        <v>513663.2</v>
      </c>
      <c r="F10" s="49">
        <f>1/38567</f>
        <v>2.5928902948116264E-5</v>
      </c>
      <c r="G10" s="59">
        <f>451.18+118.03</f>
        <v>569.21</v>
      </c>
      <c r="H10" s="15">
        <f t="shared" si="0"/>
        <v>-0.46960626366680558</v>
      </c>
      <c r="J10" s="43">
        <v>0.38950000000000001</v>
      </c>
      <c r="K10" s="43">
        <v>6.9475147460201488E-5</v>
      </c>
      <c r="L10" s="43">
        <v>0</v>
      </c>
      <c r="M10" s="43">
        <v>1.0292834801305234E-6</v>
      </c>
      <c r="N10" s="43">
        <v>7.4709925959929421E-8</v>
      </c>
      <c r="O10" s="43">
        <v>0</v>
      </c>
      <c r="P10" s="43">
        <v>6.8419877868883532E-4</v>
      </c>
    </row>
    <row r="11" spans="1:16" ht="17" x14ac:dyDescent="0.25">
      <c r="A11" s="56" t="s">
        <v>16</v>
      </c>
      <c r="B11" s="50">
        <v>29175</v>
      </c>
      <c r="C11" s="50">
        <v>7074</v>
      </c>
      <c r="D11" s="50">
        <v>542232</v>
      </c>
      <c r="E11" s="50">
        <v>2186839.63</v>
      </c>
      <c r="F11" s="49">
        <f>1/126426.5</f>
        <v>7.9097341142877478E-6</v>
      </c>
      <c r="G11" s="59">
        <f>1606+2411</f>
        <v>4017</v>
      </c>
      <c r="H11" s="23">
        <f t="shared" si="0"/>
        <v>-0.7309552976921605</v>
      </c>
      <c r="I11" s="24"/>
      <c r="J11" s="43">
        <v>1</v>
      </c>
      <c r="K11" s="43">
        <v>1.7127521128878437E-5</v>
      </c>
      <c r="L11" s="43">
        <v>4.7083121714576497E-5</v>
      </c>
      <c r="M11" s="43">
        <v>3.0842622356492727E-7</v>
      </c>
      <c r="N11" s="43">
        <v>0</v>
      </c>
      <c r="O11" s="43">
        <v>0</v>
      </c>
      <c r="P11" s="43">
        <v>2.489419965148121E-4</v>
      </c>
    </row>
    <row r="12" spans="1:16" ht="17" x14ac:dyDescent="0.25">
      <c r="A12" s="56" t="s">
        <v>17</v>
      </c>
      <c r="B12" s="50">
        <v>6342</v>
      </c>
      <c r="C12" s="50">
        <v>1178</v>
      </c>
      <c r="D12" s="50">
        <v>87000</v>
      </c>
      <c r="E12" s="50">
        <v>443823.65</v>
      </c>
      <c r="F12" s="49">
        <f>1/26943</f>
        <v>3.7115391752959953E-5</v>
      </c>
      <c r="G12" s="58">
        <f>266+23.74</f>
        <v>289.74</v>
      </c>
      <c r="H12" s="15">
        <f t="shared" si="0"/>
        <v>-0.36945473011171193</v>
      </c>
      <c r="J12" s="43">
        <v>0.4118</v>
      </c>
      <c r="K12" s="43">
        <v>0</v>
      </c>
      <c r="L12" s="43">
        <v>7.8717145005245931E-4</v>
      </c>
      <c r="M12" s="43">
        <v>8.3577048089888404E-7</v>
      </c>
      <c r="N12" s="43">
        <v>0</v>
      </c>
      <c r="O12" s="43">
        <v>0</v>
      </c>
      <c r="P12" s="43">
        <v>1.4214289141094634E-3</v>
      </c>
    </row>
    <row r="13" spans="1:16" ht="17" x14ac:dyDescent="0.25">
      <c r="A13" s="56" t="s">
        <v>18</v>
      </c>
      <c r="B13" s="50">
        <v>15501</v>
      </c>
      <c r="C13" s="60">
        <v>1707</v>
      </c>
      <c r="D13" s="50">
        <v>142313</v>
      </c>
      <c r="E13" s="50">
        <v>163011.04999999999</v>
      </c>
      <c r="F13" s="49">
        <f>1/16098</f>
        <v>6.2119517952540686E-5</v>
      </c>
      <c r="G13" s="58">
        <f>146.25+99</f>
        <v>245.25</v>
      </c>
      <c r="H13" s="21">
        <f t="shared" si="0"/>
        <v>-0.4934775544380095</v>
      </c>
      <c r="I13" s="19"/>
      <c r="J13" s="43">
        <v>0.313</v>
      </c>
      <c r="K13" s="43">
        <v>0</v>
      </c>
      <c r="L13" s="43">
        <v>0</v>
      </c>
      <c r="M13" s="43">
        <v>1.4735890892857562E-6</v>
      </c>
      <c r="N13" s="43">
        <v>4.8480708267106819E-6</v>
      </c>
      <c r="O13" s="43">
        <v>0</v>
      </c>
      <c r="P13" s="43">
        <v>1.27623323888612E-3</v>
      </c>
    </row>
    <row r="14" spans="1:16" ht="17" x14ac:dyDescent="0.25">
      <c r="A14" s="56" t="s">
        <v>19</v>
      </c>
      <c r="B14" s="50">
        <v>1068</v>
      </c>
      <c r="C14" s="50">
        <v>8816</v>
      </c>
      <c r="D14" s="50">
        <v>506957</v>
      </c>
      <c r="E14" s="50">
        <v>1607061.81</v>
      </c>
      <c r="F14" s="49">
        <f>1/88325</f>
        <v>1.1321822813472969E-5</v>
      </c>
      <c r="G14" s="58">
        <v>820.8</v>
      </c>
      <c r="H14" s="23">
        <f t="shared" si="0"/>
        <v>-0.7863411313232489</v>
      </c>
      <c r="I14" s="24"/>
      <c r="J14" s="43">
        <v>1</v>
      </c>
      <c r="K14" s="43">
        <v>2.1024336047234602E-4</v>
      </c>
      <c r="L14" s="43">
        <v>0</v>
      </c>
      <c r="M14" s="43">
        <v>0</v>
      </c>
      <c r="N14" s="43">
        <v>4.8253283488550744E-7</v>
      </c>
      <c r="O14" s="43">
        <v>0</v>
      </c>
      <c r="P14" s="43">
        <v>1.2183235867442243E-3</v>
      </c>
    </row>
    <row r="15" spans="1:16" ht="17" x14ac:dyDescent="0.25">
      <c r="A15" s="56" t="s">
        <v>20</v>
      </c>
      <c r="B15" s="50">
        <v>4149</v>
      </c>
      <c r="C15" s="50">
        <v>626</v>
      </c>
      <c r="D15" s="50">
        <v>99917</v>
      </c>
      <c r="E15" s="50">
        <v>114033.79</v>
      </c>
      <c r="F15" s="49">
        <f>1/6246.52</f>
        <v>1.600891376318334E-4</v>
      </c>
      <c r="G15" s="59">
        <f>25.9+27.8</f>
        <v>53.7</v>
      </c>
      <c r="H15" s="15">
        <f t="shared" si="0"/>
        <v>-0.18902165479563721</v>
      </c>
      <c r="J15" s="43">
        <v>0.1376</v>
      </c>
      <c r="K15" s="43">
        <v>0</v>
      </c>
      <c r="L15" s="43">
        <v>1.237630061305606E-3</v>
      </c>
      <c r="M15" s="43">
        <v>1.0396888950973955E-6</v>
      </c>
      <c r="N15" s="43">
        <v>1.0642546063867929E-6</v>
      </c>
      <c r="O15" s="43">
        <v>19.869692929255226</v>
      </c>
      <c r="P15" s="43">
        <v>2.5026419132178719E-3</v>
      </c>
    </row>
    <row r="16" spans="1:16" ht="17" x14ac:dyDescent="0.25">
      <c r="A16" s="56" t="s">
        <v>21</v>
      </c>
      <c r="B16" s="50">
        <v>2143</v>
      </c>
      <c r="C16" s="50">
        <v>1140</v>
      </c>
      <c r="D16" s="50">
        <v>339283</v>
      </c>
      <c r="E16" s="50">
        <v>282804.38</v>
      </c>
      <c r="F16" s="49">
        <f>1/15699</f>
        <v>6.3698324734059493E-5</v>
      </c>
      <c r="G16" s="58">
        <f>112.43+36.59</f>
        <v>149.02000000000001</v>
      </c>
      <c r="H16" s="15">
        <f t="shared" si="0"/>
        <v>-0.22550435702617988</v>
      </c>
      <c r="J16" s="43">
        <v>0.32190000000000002</v>
      </c>
      <c r="K16" s="43">
        <v>3.8391658232399137E-4</v>
      </c>
      <c r="L16" s="43">
        <v>1.5442462492419874E-4</v>
      </c>
      <c r="M16" s="43">
        <v>3.6037516353600403E-9</v>
      </c>
      <c r="N16" s="43">
        <v>0</v>
      </c>
      <c r="O16" s="43">
        <v>0</v>
      </c>
      <c r="P16" s="43">
        <v>2.1604012553252472E-3</v>
      </c>
    </row>
    <row r="17" spans="1:16" ht="17" x14ac:dyDescent="0.25">
      <c r="A17" s="56" t="s">
        <v>22</v>
      </c>
      <c r="B17" s="50">
        <v>5371</v>
      </c>
      <c r="C17" s="50">
        <v>1251</v>
      </c>
      <c r="D17" s="50">
        <v>394000</v>
      </c>
      <c r="E17" s="50">
        <v>237943</v>
      </c>
      <c r="F17" s="49">
        <f>1/17111.94</f>
        <v>5.84387275785212E-5</v>
      </c>
      <c r="G17" s="58">
        <f>205.51+70</f>
        <v>275.51</v>
      </c>
      <c r="H17" s="15">
        <f t="shared" si="0"/>
        <v>-0.25074703849694552</v>
      </c>
      <c r="J17" s="43">
        <v>0.32990000000000003</v>
      </c>
      <c r="K17" s="43">
        <v>0</v>
      </c>
      <c r="L17" s="43">
        <v>7.6413729772231188E-4</v>
      </c>
      <c r="M17" s="43">
        <v>0</v>
      </c>
      <c r="N17" s="43">
        <v>1.851882196550762E-7</v>
      </c>
      <c r="O17" s="43">
        <v>0</v>
      </c>
      <c r="P17" s="43">
        <v>1.1974889818552961E-3</v>
      </c>
    </row>
    <row r="18" spans="1:16" ht="17" x14ac:dyDescent="0.25">
      <c r="A18" s="56" t="s">
        <v>23</v>
      </c>
      <c r="B18" s="50">
        <v>1833</v>
      </c>
      <c r="C18" s="50">
        <v>682.3</v>
      </c>
      <c r="D18" s="50">
        <v>67932</v>
      </c>
      <c r="E18" s="50">
        <v>181690.95</v>
      </c>
      <c r="F18" s="49">
        <f>1/10367.14</f>
        <v>9.6458618288168199E-5</v>
      </c>
      <c r="G18" s="58">
        <v>111.12</v>
      </c>
      <c r="H18" s="15">
        <f t="shared" si="0"/>
        <v>-0.13486140076718225</v>
      </c>
      <c r="J18" s="43">
        <v>0.36980000000000002</v>
      </c>
      <c r="K18" s="43">
        <v>3.6263771069197957E-4</v>
      </c>
      <c r="L18" s="43">
        <v>0</v>
      </c>
      <c r="M18" s="43">
        <v>4.9355984852735274E-6</v>
      </c>
      <c r="N18" s="43">
        <v>0</v>
      </c>
      <c r="O18" s="43">
        <v>31.930475090463407</v>
      </c>
      <c r="P18" s="43">
        <v>3.2999606885994654E-3</v>
      </c>
    </row>
    <row r="19" spans="1:16" ht="17" x14ac:dyDescent="0.25">
      <c r="A19" s="56" t="s">
        <v>24</v>
      </c>
      <c r="B19" s="50">
        <v>4001</v>
      </c>
      <c r="C19" s="50">
        <v>694</v>
      </c>
      <c r="D19" s="50">
        <v>142070</v>
      </c>
      <c r="E19" s="50">
        <v>179802.04</v>
      </c>
      <c r="F19" s="49">
        <f>1/6491.91</f>
        <v>1.5403787175114874E-4</v>
      </c>
      <c r="G19" s="58">
        <f>330.7+42</f>
        <v>372.7</v>
      </c>
      <c r="H19" s="15">
        <f t="shared" si="0"/>
        <v>-0.10329006185887904</v>
      </c>
      <c r="J19" s="43">
        <v>0.79849999999999999</v>
      </c>
      <c r="K19" s="43">
        <v>0</v>
      </c>
      <c r="L19" s="43">
        <v>1.4409221902017288E-3</v>
      </c>
      <c r="M19" s="43">
        <v>0</v>
      </c>
      <c r="N19" s="43">
        <v>0</v>
      </c>
      <c r="O19" s="43">
        <v>11.004736017968382</v>
      </c>
      <c r="P19" s="43">
        <v>2.1380305336150263E-3</v>
      </c>
    </row>
    <row r="20" spans="1:16" ht="17" x14ac:dyDescent="0.25">
      <c r="A20" s="56" t="s">
        <v>27</v>
      </c>
      <c r="B20" s="50">
        <v>21365</v>
      </c>
      <c r="C20" s="50">
        <v>4314.78</v>
      </c>
      <c r="D20" s="50">
        <v>507890</v>
      </c>
      <c r="E20" s="50">
        <v>1998297</v>
      </c>
      <c r="F20" s="49">
        <f>1/106858.91</f>
        <v>9.3581340105378208E-6</v>
      </c>
      <c r="G20" s="58">
        <f>1192.44+1302.16</f>
        <v>2494.6000000000004</v>
      </c>
      <c r="H20" s="15">
        <f t="shared" si="0"/>
        <v>-0.98067397743605267</v>
      </c>
      <c r="J20" s="43">
        <v>0.92800000000000005</v>
      </c>
      <c r="K20" s="43">
        <v>0</v>
      </c>
      <c r="L20" s="43">
        <v>2.0601453138184718E-4</v>
      </c>
      <c r="M20" s="43">
        <v>2.1873362398203069E-7</v>
      </c>
      <c r="N20" s="43">
        <v>0</v>
      </c>
      <c r="O20" s="43">
        <v>0</v>
      </c>
      <c r="P20" s="43">
        <v>3.7200918759611217E-4</v>
      </c>
    </row>
    <row r="21" spans="1:16" ht="17" x14ac:dyDescent="0.25">
      <c r="A21" s="56" t="s">
        <v>28</v>
      </c>
      <c r="B21" s="50">
        <v>11982.5</v>
      </c>
      <c r="C21" s="50">
        <v>15652</v>
      </c>
      <c r="D21" s="50">
        <v>5887178</v>
      </c>
      <c r="E21" s="50">
        <v>5126580.62</v>
      </c>
      <c r="F21" s="49">
        <f>1/259744</f>
        <v>3.8499445607983244E-6</v>
      </c>
      <c r="G21" s="58">
        <f>965.7+519.07</f>
        <v>1484.77</v>
      </c>
      <c r="H21" s="15">
        <f t="shared" si="0"/>
        <v>-3.7284682910221383</v>
      </c>
      <c r="J21" s="43">
        <v>0.45569999999999999</v>
      </c>
      <c r="K21" s="43">
        <v>5.4544835137847452E-5</v>
      </c>
      <c r="L21" s="43">
        <v>2.1939833014574062E-5</v>
      </c>
      <c r="M21" s="43">
        <v>5.120019501075404E-10</v>
      </c>
      <c r="N21" s="43">
        <v>0</v>
      </c>
      <c r="O21" s="43">
        <v>0</v>
      </c>
      <c r="P21" s="43">
        <v>3.0693837080438691E-4</v>
      </c>
    </row>
    <row r="22" spans="1:16" ht="17" x14ac:dyDescent="0.25">
      <c r="A22" s="56" t="s">
        <v>29</v>
      </c>
      <c r="B22" s="50">
        <v>1772</v>
      </c>
      <c r="C22" s="50">
        <v>696</v>
      </c>
      <c r="D22" s="50">
        <v>92700</v>
      </c>
      <c r="E22" s="50">
        <v>146538.51</v>
      </c>
      <c r="F22" s="49">
        <f>1/6475.8</f>
        <v>1.5442107538836901E-4</v>
      </c>
      <c r="G22" s="58">
        <f>137.68+104.3</f>
        <v>241.98000000000002</v>
      </c>
      <c r="H22" s="15">
        <f t="shared" si="0"/>
        <v>-6.0991159164556399E-2</v>
      </c>
      <c r="J22" s="43">
        <v>0.73029999999999995</v>
      </c>
      <c r="K22" s="43">
        <v>3.2963348652134629E-4</v>
      </c>
      <c r="L22" s="43">
        <v>0</v>
      </c>
      <c r="M22" s="43">
        <v>4.4864019620730787E-6</v>
      </c>
      <c r="N22" s="43">
        <v>0</v>
      </c>
      <c r="O22" s="43">
        <v>29.024432705214608</v>
      </c>
      <c r="P22" s="43">
        <v>2.9996261146992792E-3</v>
      </c>
    </row>
    <row r="23" spans="1:16" ht="17" x14ac:dyDescent="0.25">
      <c r="A23" s="56" t="s">
        <v>30</v>
      </c>
      <c r="B23" s="50">
        <v>345</v>
      </c>
      <c r="C23" s="50">
        <v>93</v>
      </c>
      <c r="D23" s="50">
        <v>38100</v>
      </c>
      <c r="E23" s="50">
        <v>11364.72</v>
      </c>
      <c r="F23" s="49">
        <f>1/702.47</f>
        <v>1.4235483365837686E-3</v>
      </c>
      <c r="G23" s="58">
        <f>6.35+49</f>
        <v>55.35</v>
      </c>
      <c r="H23" s="23">
        <f t="shared" si="0"/>
        <v>5.8980598183211441E-16</v>
      </c>
      <c r="I23" s="24"/>
      <c r="J23" s="43">
        <v>1</v>
      </c>
      <c r="K23" s="43">
        <v>1.368025668608314E-3</v>
      </c>
      <c r="L23" s="43">
        <v>0</v>
      </c>
      <c r="M23" s="43">
        <v>5.3109592922836652E-6</v>
      </c>
      <c r="N23" s="43">
        <v>2.8657423613967082E-5</v>
      </c>
      <c r="O23" s="43">
        <v>0</v>
      </c>
      <c r="P23" s="43">
        <v>1.8066847335140492E-2</v>
      </c>
    </row>
    <row r="24" spans="1:16" ht="17" x14ac:dyDescent="0.25">
      <c r="A24" s="56" t="s">
        <v>31</v>
      </c>
      <c r="B24" s="50">
        <v>1098</v>
      </c>
      <c r="C24" s="50">
        <v>293</v>
      </c>
      <c r="D24" s="50">
        <v>13500</v>
      </c>
      <c r="E24" s="50">
        <v>37944.58</v>
      </c>
      <c r="F24" s="50">
        <f>1/3106</f>
        <v>3.219575016097875E-4</v>
      </c>
      <c r="G24" s="58">
        <f>38.01+58</f>
        <v>96.009999999999991</v>
      </c>
      <c r="H24" s="15">
        <f t="shared" si="0"/>
        <v>-2.0594809900291257E-2</v>
      </c>
      <c r="J24" s="43">
        <v>0.72829999999999995</v>
      </c>
      <c r="K24" s="43">
        <v>5.2641605138793995E-4</v>
      </c>
      <c r="L24" s="43">
        <v>0</v>
      </c>
      <c r="M24" s="43">
        <v>5.6085178742163195E-6</v>
      </c>
      <c r="N24" s="43">
        <v>9.1259458998919366E-6</v>
      </c>
      <c r="O24" s="43">
        <v>63.95204434480577</v>
      </c>
      <c r="P24" s="43">
        <v>7.3707870329589881E-3</v>
      </c>
    </row>
    <row r="25" spans="1:16" ht="17" x14ac:dyDescent="0.25">
      <c r="A25" s="56" t="s">
        <v>32</v>
      </c>
      <c r="B25" s="50">
        <v>3368</v>
      </c>
      <c r="C25" s="50">
        <v>583</v>
      </c>
      <c r="D25" s="50">
        <v>8690.7000000000007</v>
      </c>
      <c r="E25" s="50">
        <v>325091.84000000003</v>
      </c>
      <c r="F25" s="49">
        <f>1/6753.1</f>
        <v>1.480801409722942E-4</v>
      </c>
      <c r="G25" s="58">
        <f>139.54+145.55</f>
        <v>285.09000000000003</v>
      </c>
      <c r="H25" s="15">
        <f t="shared" si="0"/>
        <v>-0.19602223828001064</v>
      </c>
      <c r="J25" s="43">
        <v>0.87139999999999995</v>
      </c>
      <c r="K25" s="43">
        <v>0</v>
      </c>
      <c r="L25" s="43">
        <v>1.6886405306899357E-3</v>
      </c>
      <c r="M25" s="43">
        <v>1.7861128111391899E-6</v>
      </c>
      <c r="N25" s="43">
        <v>0</v>
      </c>
      <c r="O25" s="43">
        <v>40.092942122716323</v>
      </c>
      <c r="P25" s="43">
        <v>3.0355957794059476E-3</v>
      </c>
    </row>
    <row r="26" spans="1:16" ht="17" x14ac:dyDescent="0.25">
      <c r="A26" s="56" t="s">
        <v>33</v>
      </c>
      <c r="B26" s="50">
        <v>15642</v>
      </c>
      <c r="C26" s="50">
        <v>2954</v>
      </c>
      <c r="D26" s="50">
        <v>363050</v>
      </c>
      <c r="E26" s="50">
        <v>981312.19</v>
      </c>
      <c r="F26" s="50">
        <f>1/20656.48</f>
        <v>4.8410958691897168E-5</v>
      </c>
      <c r="G26" s="58">
        <f>594.07+739.66</f>
        <v>1333.73</v>
      </c>
      <c r="H26" s="15">
        <f t="shared" si="0"/>
        <v>-0.60794911206383251</v>
      </c>
      <c r="J26" s="43">
        <v>0.72119999999999995</v>
      </c>
      <c r="K26" s="43">
        <v>0</v>
      </c>
      <c r="L26" s="43">
        <v>2.9944922818421477E-4</v>
      </c>
      <c r="M26" s="43">
        <v>3.1793686804525466E-7</v>
      </c>
      <c r="N26" s="43">
        <v>0</v>
      </c>
      <c r="O26" s="43">
        <v>0</v>
      </c>
      <c r="P26" s="43">
        <v>5.4072818725887353E-4</v>
      </c>
    </row>
    <row r="27" spans="1:16" ht="17" x14ac:dyDescent="0.25">
      <c r="A27" s="56" t="s">
        <v>34</v>
      </c>
      <c r="B27" s="50">
        <v>3564</v>
      </c>
      <c r="C27" s="50">
        <v>706.3</v>
      </c>
      <c r="D27" s="50">
        <v>181452</v>
      </c>
      <c r="E27" s="50">
        <v>123499.85</v>
      </c>
      <c r="F27" s="49">
        <f>1/6379.75</f>
        <v>1.5674595399506249E-4</v>
      </c>
      <c r="G27" s="58">
        <f>129.88+23.42</f>
        <v>153.30000000000001</v>
      </c>
      <c r="H27" s="15">
        <f t="shared" si="0"/>
        <v>-0.14689231863656607</v>
      </c>
      <c r="J27" s="43">
        <v>0.32700000000000001</v>
      </c>
      <c r="K27" s="43">
        <v>0</v>
      </c>
      <c r="L27" s="43">
        <v>1.3626434592442439E-3</v>
      </c>
      <c r="M27" s="43">
        <v>0</v>
      </c>
      <c r="N27" s="43">
        <v>3.0416980049603485E-7</v>
      </c>
      <c r="O27" s="43">
        <v>8.8597473282526114</v>
      </c>
      <c r="P27" s="43">
        <v>2.1241258853283364E-3</v>
      </c>
    </row>
    <row r="28" spans="1:16" ht="17" x14ac:dyDescent="0.25">
      <c r="A28" s="56" t="s">
        <v>35</v>
      </c>
      <c r="B28" s="50">
        <v>5098.3</v>
      </c>
      <c r="C28" s="50">
        <v>971</v>
      </c>
      <c r="D28" s="50">
        <v>5087</v>
      </c>
      <c r="E28" s="50">
        <v>140795.94</v>
      </c>
      <c r="F28" s="49">
        <f>1/5455.89</f>
        <v>1.8328815280366722E-4</v>
      </c>
      <c r="G28" s="58">
        <f>528+12.72</f>
        <v>540.72</v>
      </c>
      <c r="H28" s="23">
        <f t="shared" si="0"/>
        <v>-2.8169157700374342E-2</v>
      </c>
      <c r="I28" s="24"/>
      <c r="J28" s="43">
        <v>1</v>
      </c>
      <c r="K28" s="43">
        <v>0</v>
      </c>
      <c r="L28" s="43">
        <v>0</v>
      </c>
      <c r="M28" s="43">
        <v>2.1353738126463939E-6</v>
      </c>
      <c r="N28" s="43">
        <v>7.0253258255534059E-6</v>
      </c>
      <c r="O28" s="43">
        <v>0</v>
      </c>
      <c r="P28" s="43">
        <v>1.8493860038467189E-3</v>
      </c>
    </row>
    <row r="29" spans="1:16" ht="17" x14ac:dyDescent="0.25">
      <c r="A29" s="56" t="s">
        <v>37</v>
      </c>
      <c r="B29" s="50">
        <v>3296</v>
      </c>
      <c r="C29" s="50">
        <v>572</v>
      </c>
      <c r="D29" s="50">
        <v>175151</v>
      </c>
      <c r="E29" s="50">
        <v>44665.87</v>
      </c>
      <c r="F29" s="50">
        <f>1/2919.76</f>
        <v>3.4249390360851573E-4</v>
      </c>
      <c r="G29" s="58">
        <f>170.91+201</f>
        <v>371.90999999999997</v>
      </c>
      <c r="H29" s="23">
        <f t="shared" si="0"/>
        <v>-1.3600232051658168E-15</v>
      </c>
      <c r="I29" s="24"/>
      <c r="J29" s="43">
        <v>1</v>
      </c>
      <c r="K29" s="43">
        <v>0</v>
      </c>
      <c r="L29" s="43">
        <v>0</v>
      </c>
      <c r="M29" s="43">
        <v>3.1046202790302766E-6</v>
      </c>
      <c r="N29" s="43">
        <v>1.0214122181154606E-5</v>
      </c>
      <c r="O29" s="43">
        <v>0</v>
      </c>
      <c r="P29" s="43">
        <v>2.6888225645989366E-3</v>
      </c>
    </row>
    <row r="30" spans="1:16" ht="17" x14ac:dyDescent="0.25">
      <c r="A30" s="56" t="s">
        <v>38</v>
      </c>
      <c r="B30" s="50">
        <v>3951</v>
      </c>
      <c r="C30" s="50">
        <v>1168</v>
      </c>
      <c r="D30" s="50">
        <v>236700</v>
      </c>
      <c r="E30" s="50">
        <v>263051.15999999997</v>
      </c>
      <c r="F30" s="49">
        <f>1/4392.9</f>
        <v>2.2764005554417357E-4</v>
      </c>
      <c r="G30" s="58">
        <f>521+265</f>
        <v>786</v>
      </c>
      <c r="H30" s="23">
        <f t="shared" si="0"/>
        <v>0</v>
      </c>
      <c r="I30" s="24"/>
      <c r="J30" s="43">
        <v>1</v>
      </c>
      <c r="K30" s="43">
        <v>7.9650970884791845E-5</v>
      </c>
      <c r="L30" s="43">
        <v>0</v>
      </c>
      <c r="M30" s="43">
        <v>6.9854368861451715E-7</v>
      </c>
      <c r="N30" s="43">
        <v>1.9766258508007767E-6</v>
      </c>
      <c r="O30" s="43">
        <v>0</v>
      </c>
      <c r="P30" s="43">
        <v>1.2722646310432569E-3</v>
      </c>
    </row>
    <row r="31" spans="1:16" ht="17" x14ac:dyDescent="0.25">
      <c r="A31" s="56" t="s">
        <v>39</v>
      </c>
      <c r="B31" s="50">
        <v>1793</v>
      </c>
      <c r="C31" s="50">
        <v>442</v>
      </c>
      <c r="D31" s="50">
        <v>165200</v>
      </c>
      <c r="E31" s="50">
        <v>68510.02</v>
      </c>
      <c r="F31" s="49">
        <f>1/6031.15</f>
        <v>1.6580585792096036E-4</v>
      </c>
      <c r="G31" s="58">
        <f>243.55+30</f>
        <v>273.55</v>
      </c>
      <c r="H31" s="15">
        <f t="shared" si="0"/>
        <v>-7.8098554108839008E-3</v>
      </c>
      <c r="J31" s="43">
        <v>0.96589999999999998</v>
      </c>
      <c r="K31" s="43">
        <v>1.6309267695626675E-4</v>
      </c>
      <c r="L31" s="43">
        <v>1.1073625935099514E-3</v>
      </c>
      <c r="M31" s="43">
        <v>0</v>
      </c>
      <c r="N31" s="43">
        <v>3.1837760941540395E-6</v>
      </c>
      <c r="O31" s="43">
        <v>0</v>
      </c>
      <c r="P31" s="43">
        <v>3.530883804861734E-3</v>
      </c>
    </row>
    <row r="32" spans="1:16" ht="17" x14ac:dyDescent="0.25">
      <c r="A32" s="56" t="s">
        <v>40</v>
      </c>
      <c r="B32" s="50">
        <v>120</v>
      </c>
      <c r="C32" s="50">
        <v>45</v>
      </c>
      <c r="D32" s="50">
        <v>5112</v>
      </c>
      <c r="E32" s="50">
        <v>5137.62</v>
      </c>
      <c r="F32" s="50">
        <f>1/496.9</f>
        <v>2.0124773596297044E-3</v>
      </c>
      <c r="G32" s="58">
        <f>0.66+0.7</f>
        <v>1.3599999999999999</v>
      </c>
      <c r="H32" s="23">
        <f t="shared" si="0"/>
        <v>-6.9785306628721896E-3</v>
      </c>
      <c r="I32" s="24"/>
      <c r="J32" s="43">
        <v>1</v>
      </c>
      <c r="K32" s="43">
        <v>2.139650898463818E-3</v>
      </c>
      <c r="L32" s="43">
        <v>0</v>
      </c>
      <c r="M32" s="43">
        <v>3.6226378635438441E-5</v>
      </c>
      <c r="N32" s="43">
        <v>1.0862084868090297E-4</v>
      </c>
      <c r="O32" s="43">
        <v>464.0291558384323</v>
      </c>
      <c r="P32" s="43">
        <v>4.8641051209944317E-2</v>
      </c>
    </row>
    <row r="33" spans="1:16" ht="17" x14ac:dyDescent="0.25">
      <c r="A33" s="61" t="s">
        <v>41</v>
      </c>
      <c r="B33" s="62">
        <v>12914</v>
      </c>
      <c r="C33" s="62">
        <v>3799</v>
      </c>
      <c r="D33" s="62">
        <v>767834</v>
      </c>
      <c r="E33" s="62">
        <v>811190.19</v>
      </c>
      <c r="F33" s="63">
        <f>1/49848.29</f>
        <v>2.0060868687772439E-5</v>
      </c>
      <c r="G33" s="64">
        <f>730.65+540.35</f>
        <v>1271</v>
      </c>
      <c r="H33" s="17">
        <f t="shared" si="0"/>
        <v>-0.48961257315662365</v>
      </c>
      <c r="J33" s="43">
        <v>0.51039999999999996</v>
      </c>
      <c r="K33" s="43">
        <v>3.0406489876016207E-5</v>
      </c>
      <c r="L33" s="43">
        <v>0</v>
      </c>
      <c r="M33" s="43">
        <v>1.1804429818706399E-7</v>
      </c>
      <c r="N33" s="43">
        <v>6.3695563686114188E-7</v>
      </c>
      <c r="O33" s="43">
        <v>0</v>
      </c>
      <c r="P33" s="43">
        <v>4.0156367178865174E-4</v>
      </c>
    </row>
    <row r="35" spans="1:16" x14ac:dyDescent="0.2">
      <c r="A35" s="1" t="s">
        <v>9</v>
      </c>
      <c r="B35" s="2">
        <v>32</v>
      </c>
      <c r="F35" s="1" t="s">
        <v>12</v>
      </c>
      <c r="G35" s="4">
        <f>SUMPRODUCT(INDEX(F2:G33,B35,0),F37:G37)</f>
        <v>0.51038742684337635</v>
      </c>
    </row>
    <row r="36" spans="1:16" x14ac:dyDescent="0.2">
      <c r="J36" s="1" t="s">
        <v>49</v>
      </c>
      <c r="K36" s="18"/>
    </row>
    <row r="37" spans="1:16" x14ac:dyDescent="0.2">
      <c r="A37" s="1" t="s">
        <v>11</v>
      </c>
      <c r="B37" s="3">
        <v>3.0406489876016207E-5</v>
      </c>
      <c r="C37" s="3">
        <v>0</v>
      </c>
      <c r="D37" s="3">
        <v>1.1804429818706399E-7</v>
      </c>
      <c r="E37" s="3">
        <v>6.3695563686114188E-7</v>
      </c>
      <c r="F37" s="3">
        <v>0</v>
      </c>
      <c r="G37" s="4">
        <v>4.0156367178865174E-4</v>
      </c>
    </row>
    <row r="38" spans="1:16" x14ac:dyDescent="0.2">
      <c r="J38">
        <f>AVERAGE(J2:J33)</f>
        <v>0.6795031250000001</v>
      </c>
    </row>
    <row r="39" spans="1:16" x14ac:dyDescent="0.2">
      <c r="F39" s="1" t="s">
        <v>13</v>
      </c>
      <c r="G39" s="4">
        <f>SUMPRODUCT(INDEX(B2:E33,B35,0),B37:E37)</f>
        <v>1</v>
      </c>
      <c r="J39">
        <f>MEDIAN(J2:J33)</f>
        <v>0.72929999999999995</v>
      </c>
    </row>
    <row r="40" spans="1:16" x14ac:dyDescent="0.2">
      <c r="L40" s="43" t="s">
        <v>53</v>
      </c>
      <c r="M40" s="43">
        <f>AVERAGE(J2:J33)</f>
        <v>0.6795031250000001</v>
      </c>
    </row>
    <row r="41" spans="1:16" x14ac:dyDescent="0.2">
      <c r="E41" s="44"/>
      <c r="L41" s="43" t="s">
        <v>52</v>
      </c>
      <c r="M41" s="43">
        <f>MEDIAN(J2:J33)</f>
        <v>0.72929999999999995</v>
      </c>
    </row>
    <row r="46" spans="1:16" x14ac:dyDescent="0.2">
      <c r="A46" s="16" t="s">
        <v>26</v>
      </c>
    </row>
    <row r="47" spans="1:16" x14ac:dyDescent="0.2">
      <c r="A47" s="13" t="s">
        <v>25</v>
      </c>
    </row>
    <row r="48" spans="1:16" x14ac:dyDescent="0.2">
      <c r="A48" s="13" t="s">
        <v>1</v>
      </c>
    </row>
    <row r="49" spans="1:1" x14ac:dyDescent="0.2">
      <c r="A49" s="14" t="s">
        <v>36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Efficiency">
                <anchor moveWithCells="1" sizeWithCells="1">
                  <from>
                    <xdr:col>7</xdr:col>
                    <xdr:colOff>304800</xdr:colOff>
                    <xdr:row>35</xdr:row>
                    <xdr:rowOff>25400</xdr:rowOff>
                  </from>
                  <to>
                    <xdr:col>8</xdr:col>
                    <xdr:colOff>482600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93085-680D-3847-ABAA-F081A4AE6EA1}">
  <sheetPr codeName="Sheet2"/>
  <dimension ref="A1:P40"/>
  <sheetViews>
    <sheetView zoomScale="84" workbookViewId="0">
      <selection activeCell="M40" sqref="M40"/>
    </sheetView>
  </sheetViews>
  <sheetFormatPr baseColWidth="10" defaultRowHeight="16" x14ac:dyDescent="0.2"/>
  <cols>
    <col min="1" max="1" width="26.6640625" customWidth="1"/>
    <col min="2" max="2" width="25" customWidth="1"/>
    <col min="3" max="3" width="19.1640625" customWidth="1"/>
    <col min="4" max="4" width="27.83203125" customWidth="1"/>
    <col min="5" max="5" width="21.1640625" customWidth="1"/>
    <col min="6" max="6" width="26.5" customWidth="1"/>
    <col min="7" max="7" width="21.6640625" customWidth="1"/>
    <col min="8" max="8" width="20.5" customWidth="1"/>
    <col min="10" max="10" width="15" customWidth="1"/>
    <col min="11" max="11" width="16.1640625" customWidth="1"/>
    <col min="12" max="12" width="16.6640625" customWidth="1"/>
    <col min="13" max="13" width="17.5" customWidth="1"/>
    <col min="14" max="14" width="16.83203125" customWidth="1"/>
    <col min="15" max="15" width="16.6640625" customWidth="1"/>
    <col min="16" max="16" width="17" customWidth="1"/>
  </cols>
  <sheetData>
    <row r="1" spans="1:16" ht="45" customHeight="1" x14ac:dyDescent="0.2">
      <c r="A1" s="26" t="s">
        <v>0</v>
      </c>
      <c r="B1" s="27" t="s">
        <v>46</v>
      </c>
      <c r="C1" s="27" t="s">
        <v>45</v>
      </c>
      <c r="D1" s="27" t="s">
        <v>48</v>
      </c>
      <c r="E1" s="27" t="s">
        <v>44</v>
      </c>
      <c r="F1" s="27" t="s">
        <v>47</v>
      </c>
      <c r="G1" s="5" t="s">
        <v>51</v>
      </c>
      <c r="H1" s="35" t="s">
        <v>10</v>
      </c>
      <c r="J1" s="43" t="s">
        <v>42</v>
      </c>
      <c r="K1" s="43" t="s">
        <v>43</v>
      </c>
      <c r="L1" s="43" t="s">
        <v>43</v>
      </c>
      <c r="M1" s="43" t="s">
        <v>43</v>
      </c>
      <c r="N1" s="43" t="s">
        <v>43</v>
      </c>
      <c r="O1" s="43" t="s">
        <v>43</v>
      </c>
      <c r="P1" s="43" t="s">
        <v>43</v>
      </c>
    </row>
    <row r="2" spans="1:16" x14ac:dyDescent="0.2">
      <c r="A2" s="28" t="s">
        <v>2</v>
      </c>
      <c r="B2" s="10">
        <v>5170</v>
      </c>
      <c r="C2" s="10">
        <v>978</v>
      </c>
      <c r="D2" s="11">
        <v>164493</v>
      </c>
      <c r="E2" s="9">
        <v>142082.41</v>
      </c>
      <c r="F2" s="12">
        <f>1/9625</f>
        <v>1.038961038961039E-4</v>
      </c>
      <c r="G2" s="9">
        <f>373.7+196.5</f>
        <v>570.20000000000005</v>
      </c>
      <c r="H2" s="37">
        <f>SUMPRODUCT(F2:G2,F$37:G$37)+$B$39-SUMPRODUCT(B2:E2,B$37:E$37)</f>
        <v>-3.8147599695115497E-2</v>
      </c>
      <c r="J2" s="43">
        <v>0.93500000000000005</v>
      </c>
      <c r="K2" s="43">
        <v>0</v>
      </c>
      <c r="L2" s="43">
        <v>8.0455166724434412E-4</v>
      </c>
      <c r="M2" s="43">
        <v>6.696402059115279E-7</v>
      </c>
      <c r="N2" s="43">
        <v>7.2491269710322922E-7</v>
      </c>
      <c r="O2" s="43">
        <v>0</v>
      </c>
      <c r="P2" s="43">
        <v>1.6398337276747903E-3</v>
      </c>
    </row>
    <row r="3" spans="1:16" x14ac:dyDescent="0.2">
      <c r="A3" s="29" t="s">
        <v>3</v>
      </c>
      <c r="B3" s="8">
        <f>13663.33</f>
        <v>13663.33</v>
      </c>
      <c r="C3" s="5">
        <v>3741</v>
      </c>
      <c r="D3" s="5">
        <v>373006</v>
      </c>
      <c r="E3" s="5">
        <v>703347</v>
      </c>
      <c r="F3" s="5">
        <f>1/24685</f>
        <v>4.0510431436094793E-5</v>
      </c>
      <c r="G3" s="5">
        <f>1384.82+385.16</f>
        <v>1769.98</v>
      </c>
      <c r="H3" s="37">
        <f t="shared" ref="H3:H33" si="0">SUMPRODUCT(F3:G3,F$37:G$37)+$B$39-SUMPRODUCT(B3:E3,B$37:E$37)</f>
        <v>-0.19672630533412916</v>
      </c>
      <c r="J3" s="43">
        <v>0.87390000000000001</v>
      </c>
      <c r="K3" s="43">
        <v>5.0135854222210064E-5</v>
      </c>
      <c r="L3" s="43">
        <v>0</v>
      </c>
      <c r="M3" s="43">
        <v>7.4276929808194125E-7</v>
      </c>
      <c r="N3" s="43">
        <v>5.3913465372991488E-8</v>
      </c>
      <c r="O3" s="43">
        <v>0</v>
      </c>
      <c r="P3" s="43">
        <v>4.937433237836294E-4</v>
      </c>
    </row>
    <row r="4" spans="1:16" x14ac:dyDescent="0.2">
      <c r="A4" s="29" t="s">
        <v>4</v>
      </c>
      <c r="B4" s="5">
        <v>27832</v>
      </c>
      <c r="C4" s="5">
        <v>9633</v>
      </c>
      <c r="D4" s="5">
        <v>1335645</v>
      </c>
      <c r="E4" s="5">
        <v>1753340.65</v>
      </c>
      <c r="F4" s="5">
        <f>1/99155</f>
        <v>1.0085220109928899E-5</v>
      </c>
      <c r="G4" s="5">
        <f>2018+1255</f>
        <v>3273</v>
      </c>
      <c r="H4" s="37">
        <f t="shared" si="0"/>
        <v>-0.80642101547236678</v>
      </c>
      <c r="J4" s="43">
        <v>0.65110000000000001</v>
      </c>
      <c r="K4" s="43">
        <v>2.0199895150069772E-5</v>
      </c>
      <c r="L4" s="43">
        <v>0</v>
      </c>
      <c r="M4" s="43">
        <v>2.9926411297285523E-7</v>
      </c>
      <c r="N4" s="43">
        <v>2.1721906699435614E-8</v>
      </c>
      <c r="O4" s="43">
        <v>0</v>
      </c>
      <c r="P4" s="43">
        <v>1.9893075576755566E-4</v>
      </c>
    </row>
    <row r="5" spans="1:16" x14ac:dyDescent="0.2">
      <c r="A5" s="29" t="s">
        <v>5</v>
      </c>
      <c r="B5" s="5">
        <v>3250</v>
      </c>
      <c r="C5" s="5">
        <v>770</v>
      </c>
      <c r="D5" s="5">
        <v>37930</v>
      </c>
      <c r="E5" s="5">
        <v>186617.5</v>
      </c>
      <c r="F5" s="5">
        <f>1/10303</f>
        <v>9.7059108997379407E-5</v>
      </c>
      <c r="G5" s="5">
        <f>157+7</f>
        <v>164</v>
      </c>
      <c r="H5" s="37">
        <f t="shared" si="0"/>
        <v>-0.15630913871588351</v>
      </c>
      <c r="J5" s="43">
        <v>0.44479999999999997</v>
      </c>
      <c r="K5" s="43">
        <v>2.6209519751862743E-4</v>
      </c>
      <c r="L5" s="43">
        <v>0</v>
      </c>
      <c r="M5" s="43">
        <v>3.9069498566955168E-6</v>
      </c>
      <c r="N5" s="43">
        <v>0</v>
      </c>
      <c r="O5" s="43">
        <v>0</v>
      </c>
      <c r="P5" s="43">
        <v>2.4189610799105559E-3</v>
      </c>
    </row>
    <row r="6" spans="1:16" x14ac:dyDescent="0.2">
      <c r="A6" s="29" t="s">
        <v>6</v>
      </c>
      <c r="B6" s="5">
        <v>5612.5</v>
      </c>
      <c r="C6" s="5">
        <v>1459.5</v>
      </c>
      <c r="D6" s="5">
        <v>597124</v>
      </c>
      <c r="E6" s="5">
        <v>118007.61</v>
      </c>
      <c r="F6" s="5">
        <f>1/3033.46</f>
        <v>3.2965656379184167E-4</v>
      </c>
      <c r="G6" s="5">
        <f>94.27+5.96</f>
        <v>100.22999999999999</v>
      </c>
      <c r="H6" s="37">
        <f t="shared" si="0"/>
        <v>-0.27606039349842826</v>
      </c>
      <c r="J6" s="43">
        <v>0.1363</v>
      </c>
      <c r="K6" s="43">
        <v>1.5245032055151252E-5</v>
      </c>
      <c r="L6" s="43">
        <v>0</v>
      </c>
      <c r="M6" s="43">
        <v>0</v>
      </c>
      <c r="N6" s="43">
        <v>7.7489685418632214E-6</v>
      </c>
      <c r="O6" s="43">
        <v>0</v>
      </c>
      <c r="P6" s="43">
        <v>9.5728346396454123E-4</v>
      </c>
    </row>
    <row r="7" spans="1:16" x14ac:dyDescent="0.2">
      <c r="A7" s="25" t="s">
        <v>7</v>
      </c>
      <c r="B7" s="22">
        <v>361</v>
      </c>
      <c r="C7" s="22">
        <v>128</v>
      </c>
      <c r="D7" s="22">
        <v>394877</v>
      </c>
      <c r="E7" s="22">
        <v>48457.46</v>
      </c>
      <c r="F7" s="22">
        <f>1/2840.95</f>
        <v>3.5199493127298972E-4</v>
      </c>
      <c r="G7" s="22">
        <f>37.68+36.28</f>
        <v>73.960000000000008</v>
      </c>
      <c r="H7" s="39">
        <f t="shared" si="0"/>
        <v>-5.8755324309939544E-2</v>
      </c>
      <c r="I7" s="24"/>
      <c r="J7" s="43">
        <v>1</v>
      </c>
      <c r="K7" s="43">
        <v>6.1155016148418929E-4</v>
      </c>
      <c r="L7" s="43">
        <v>6.0877374351891219E-3</v>
      </c>
      <c r="M7" s="43">
        <v>0</v>
      </c>
      <c r="N7" s="43">
        <v>0</v>
      </c>
      <c r="O7" s="43">
        <v>0</v>
      </c>
      <c r="P7" s="43">
        <v>1.1975046363019605E-2</v>
      </c>
    </row>
    <row r="8" spans="1:16" x14ac:dyDescent="0.2">
      <c r="A8" s="29" t="s">
        <v>8</v>
      </c>
      <c r="B8" s="5">
        <v>11261</v>
      </c>
      <c r="C8" s="5">
        <v>10239</v>
      </c>
      <c r="D8" s="5">
        <v>1751098</v>
      </c>
      <c r="E8" s="5">
        <v>2990334.2</v>
      </c>
      <c r="F8" s="5">
        <f>1/153805</f>
        <v>6.5017392152400767E-6</v>
      </c>
      <c r="G8" s="5">
        <f>873.94+360.15</f>
        <v>1234.0900000000001</v>
      </c>
      <c r="H8" s="37">
        <f t="shared" si="0"/>
        <v>-1.958259130031585</v>
      </c>
      <c r="J8" s="43">
        <v>0.4511</v>
      </c>
      <c r="K8" s="43">
        <v>6.4952274143391741E-5</v>
      </c>
      <c r="L8" s="43">
        <v>2.6126067573977264E-5</v>
      </c>
      <c r="M8" s="43">
        <v>6.0969459237147115E-10</v>
      </c>
      <c r="N8" s="43">
        <v>0</v>
      </c>
      <c r="O8" s="43">
        <v>0</v>
      </c>
      <c r="P8" s="43">
        <v>3.6550381269333411E-4</v>
      </c>
    </row>
    <row r="9" spans="1:16" x14ac:dyDescent="0.2">
      <c r="A9" s="29" t="s">
        <v>14</v>
      </c>
      <c r="B9" s="5">
        <v>3076</v>
      </c>
      <c r="C9" s="5">
        <v>1259</v>
      </c>
      <c r="D9" s="5">
        <v>191790</v>
      </c>
      <c r="E9" s="5">
        <v>361026.09</v>
      </c>
      <c r="F9">
        <f>1/23077.82</f>
        <v>4.3331649176568671E-5</v>
      </c>
      <c r="G9">
        <f>235.2+375.78</f>
        <v>610.98</v>
      </c>
      <c r="H9" s="37">
        <f t="shared" si="0"/>
        <v>-0.10078030969793042</v>
      </c>
      <c r="J9" s="43">
        <v>0.98899999999999999</v>
      </c>
      <c r="K9" s="43">
        <v>1.8768363194412841E-4</v>
      </c>
      <c r="L9" s="43">
        <v>0</v>
      </c>
      <c r="M9" s="43">
        <v>2.2038956574370987E-6</v>
      </c>
      <c r="N9" s="43">
        <v>0</v>
      </c>
      <c r="O9" s="43">
        <v>0</v>
      </c>
      <c r="P9" s="43">
        <v>1.5668482125465128E-3</v>
      </c>
    </row>
    <row r="10" spans="1:16" x14ac:dyDescent="0.2">
      <c r="A10" s="29" t="s">
        <v>15</v>
      </c>
      <c r="B10" s="5">
        <v>11619</v>
      </c>
      <c r="C10" s="5">
        <v>4497</v>
      </c>
      <c r="D10" s="5">
        <v>150000</v>
      </c>
      <c r="E10" s="5">
        <v>513663.2</v>
      </c>
      <c r="F10">
        <f>1/38567</f>
        <v>2.5928902948116264E-5</v>
      </c>
      <c r="G10">
        <f>451.18+118.03</f>
        <v>569.21</v>
      </c>
      <c r="H10" s="37">
        <f t="shared" si="0"/>
        <v>-0.46960626366680636</v>
      </c>
      <c r="J10" s="43">
        <v>0.39290000000000003</v>
      </c>
      <c r="K10" s="43">
        <v>7.2085552298292182E-5</v>
      </c>
      <c r="L10" s="43">
        <v>0</v>
      </c>
      <c r="M10" s="43">
        <v>1.0598773926650608E-6</v>
      </c>
      <c r="N10" s="43">
        <v>6.7288428417376707E-9</v>
      </c>
      <c r="O10" s="43">
        <v>0</v>
      </c>
      <c r="P10" s="43">
        <v>6.6699390312078015E-4</v>
      </c>
    </row>
    <row r="11" spans="1:16" x14ac:dyDescent="0.2">
      <c r="A11" s="25" t="s">
        <v>16</v>
      </c>
      <c r="B11" s="22">
        <v>29175</v>
      </c>
      <c r="C11" s="22">
        <v>7074</v>
      </c>
      <c r="D11" s="22">
        <v>542232</v>
      </c>
      <c r="E11" s="22">
        <v>2186839.63</v>
      </c>
      <c r="F11" s="24">
        <f>1/126426.5</f>
        <v>7.9097341142877478E-6</v>
      </c>
      <c r="G11" s="24">
        <f>1606+2411</f>
        <v>4017</v>
      </c>
      <c r="H11" s="39">
        <f t="shared" si="0"/>
        <v>-0.73095529769216228</v>
      </c>
      <c r="I11" s="24"/>
      <c r="J11" s="43">
        <v>1</v>
      </c>
      <c r="K11" s="43">
        <v>2.7418087454364396E-5</v>
      </c>
      <c r="L11" s="43">
        <v>0</v>
      </c>
      <c r="M11" s="43">
        <v>3.689883638717722E-7</v>
      </c>
      <c r="N11" s="43">
        <v>0</v>
      </c>
      <c r="O11" s="43">
        <v>0</v>
      </c>
      <c r="P11" s="43">
        <v>2.4894199651481189E-4</v>
      </c>
    </row>
    <row r="12" spans="1:16" x14ac:dyDescent="0.2">
      <c r="A12" s="29" t="s">
        <v>17</v>
      </c>
      <c r="B12" s="5">
        <v>6342</v>
      </c>
      <c r="C12" s="5">
        <v>1178</v>
      </c>
      <c r="D12" s="5">
        <v>87000</v>
      </c>
      <c r="E12" s="5">
        <v>443823.65</v>
      </c>
      <c r="F12">
        <f>1/26943</f>
        <v>3.7115391752959953E-5</v>
      </c>
      <c r="G12" s="5">
        <f>266+23.74</f>
        <v>289.74</v>
      </c>
      <c r="H12" s="37">
        <f t="shared" si="0"/>
        <v>-0.36945473011171237</v>
      </c>
      <c r="J12" s="43">
        <v>0.42630000000000001</v>
      </c>
      <c r="K12" s="43">
        <v>0</v>
      </c>
      <c r="L12" s="43">
        <v>7.9086472945736209E-4</v>
      </c>
      <c r="M12" s="43">
        <v>7.8576262872674836E-7</v>
      </c>
      <c r="N12" s="43">
        <v>0</v>
      </c>
      <c r="O12" s="43">
        <v>0</v>
      </c>
      <c r="P12" s="43">
        <v>1.3771738072015263E-3</v>
      </c>
    </row>
    <row r="13" spans="1:16" x14ac:dyDescent="0.2">
      <c r="A13" s="29" t="s">
        <v>18</v>
      </c>
      <c r="B13" s="5">
        <v>15501</v>
      </c>
      <c r="C13" s="5">
        <v>1707</v>
      </c>
      <c r="D13" s="5">
        <v>142313</v>
      </c>
      <c r="E13" s="5">
        <v>163011.04999999999</v>
      </c>
      <c r="F13">
        <f>1/16098</f>
        <v>6.2119517952540686E-5</v>
      </c>
      <c r="G13" s="20">
        <f>146.25+99</f>
        <v>245.25</v>
      </c>
      <c r="H13" s="37">
        <f t="shared" si="0"/>
        <v>-0.49347755443801083</v>
      </c>
      <c r="J13" s="43">
        <v>0.32750000000000001</v>
      </c>
      <c r="K13" s="43">
        <v>0</v>
      </c>
      <c r="L13" s="43">
        <v>0</v>
      </c>
      <c r="M13" s="43">
        <v>1.5178929269490194E-6</v>
      </c>
      <c r="N13" s="43">
        <v>4.809392393258655E-6</v>
      </c>
      <c r="O13" s="43">
        <v>0</v>
      </c>
      <c r="P13" s="43">
        <v>1.2095745790697715E-3</v>
      </c>
    </row>
    <row r="14" spans="1:16" x14ac:dyDescent="0.2">
      <c r="A14" s="25" t="s">
        <v>19</v>
      </c>
      <c r="B14" s="22">
        <v>1068</v>
      </c>
      <c r="C14" s="22">
        <v>8816</v>
      </c>
      <c r="D14" s="22">
        <v>506957</v>
      </c>
      <c r="E14" s="22">
        <v>1607061.81</v>
      </c>
      <c r="F14" s="24">
        <f>1/88325</f>
        <v>1.1321822813472969E-5</v>
      </c>
      <c r="G14" s="22">
        <v>820.8</v>
      </c>
      <c r="H14" s="39">
        <f t="shared" si="0"/>
        <v>-0.78634113132324823</v>
      </c>
      <c r="I14" s="24"/>
      <c r="J14" s="43">
        <v>1</v>
      </c>
      <c r="K14" s="43">
        <v>2.1024336047234605E-4</v>
      </c>
      <c r="L14" s="43">
        <v>0</v>
      </c>
      <c r="M14" s="43">
        <v>0</v>
      </c>
      <c r="N14" s="43">
        <v>4.8253283488550723E-7</v>
      </c>
      <c r="O14" s="43">
        <v>0</v>
      </c>
      <c r="P14" s="43">
        <v>1.2183235867442243E-3</v>
      </c>
    </row>
    <row r="15" spans="1:16" x14ac:dyDescent="0.2">
      <c r="A15" s="29" t="s">
        <v>20</v>
      </c>
      <c r="B15" s="5">
        <v>4149</v>
      </c>
      <c r="C15" s="5">
        <v>626</v>
      </c>
      <c r="D15" s="5">
        <v>99917</v>
      </c>
      <c r="E15" s="5">
        <v>114033.79</v>
      </c>
      <c r="F15">
        <f>1/6246.52</f>
        <v>1.600891376318334E-4</v>
      </c>
      <c r="G15">
        <f>25.9+27.8</f>
        <v>53.7</v>
      </c>
      <c r="H15" s="37">
        <f t="shared" si="0"/>
        <v>-0.18902165479563754</v>
      </c>
      <c r="J15" s="43">
        <v>0.1862</v>
      </c>
      <c r="K15" s="43">
        <v>0</v>
      </c>
      <c r="L15" s="43">
        <v>1.3134408307084646E-3</v>
      </c>
      <c r="M15" s="43">
        <v>1.7793372496822469E-6</v>
      </c>
      <c r="N15" s="43">
        <v>0</v>
      </c>
      <c r="O15" s="43">
        <v>0</v>
      </c>
      <c r="P15" s="43">
        <v>2.2548978897300349E-3</v>
      </c>
    </row>
    <row r="16" spans="1:16" x14ac:dyDescent="0.2">
      <c r="A16" s="29" t="s">
        <v>21</v>
      </c>
      <c r="B16" s="5">
        <v>2143</v>
      </c>
      <c r="C16" s="5">
        <v>1140</v>
      </c>
      <c r="D16" s="5">
        <v>339283</v>
      </c>
      <c r="E16" s="5">
        <v>282804.38</v>
      </c>
      <c r="F16">
        <f>1/15699</f>
        <v>6.3698324734059493E-5</v>
      </c>
      <c r="G16" s="5">
        <f>112.43+36.59</f>
        <v>149.02000000000001</v>
      </c>
      <c r="H16" s="37">
        <f t="shared" si="0"/>
        <v>-0.22550435702617977</v>
      </c>
      <c r="J16" s="43">
        <v>0.34229999999999999</v>
      </c>
      <c r="K16" s="43">
        <v>3.7543703261556731E-4</v>
      </c>
      <c r="L16" s="43">
        <v>1.4829790690322516E-4</v>
      </c>
      <c r="M16" s="43">
        <v>7.774873847249166E-8</v>
      </c>
      <c r="N16" s="43">
        <v>0</v>
      </c>
      <c r="O16" s="43">
        <v>0</v>
      </c>
      <c r="P16" s="43">
        <v>2.0922289591368461E-3</v>
      </c>
    </row>
    <row r="17" spans="1:16" x14ac:dyDescent="0.2">
      <c r="A17" s="29" t="s">
        <v>22</v>
      </c>
      <c r="B17" s="5">
        <v>5371</v>
      </c>
      <c r="C17" s="5">
        <v>1251</v>
      </c>
      <c r="D17" s="5">
        <v>394000</v>
      </c>
      <c r="E17" s="5">
        <v>237943</v>
      </c>
      <c r="F17">
        <f>1/17111.94</f>
        <v>5.84387275785212E-5</v>
      </c>
      <c r="G17" s="5">
        <f>205.51+70</f>
        <v>275.51</v>
      </c>
      <c r="H17" s="37">
        <f t="shared" si="0"/>
        <v>-0.25074703849694574</v>
      </c>
      <c r="J17" s="43">
        <v>0.33429999999999999</v>
      </c>
      <c r="K17" s="43">
        <v>0</v>
      </c>
      <c r="L17" s="43">
        <v>7.7362490133121332E-4</v>
      </c>
      <c r="M17" s="43">
        <v>0</v>
      </c>
      <c r="N17" s="43">
        <v>1.3530655843900603E-7</v>
      </c>
      <c r="O17" s="43">
        <v>0</v>
      </c>
      <c r="P17" s="43">
        <v>1.1848376034123283E-3</v>
      </c>
    </row>
    <row r="18" spans="1:16" x14ac:dyDescent="0.2">
      <c r="A18" s="29" t="s">
        <v>23</v>
      </c>
      <c r="B18" s="5">
        <v>1833</v>
      </c>
      <c r="C18" s="5">
        <v>682.3</v>
      </c>
      <c r="D18" s="5">
        <v>67932</v>
      </c>
      <c r="E18" s="5">
        <v>181690.95</v>
      </c>
      <c r="F18">
        <f>1/10367.14</f>
        <v>9.6458618288168199E-5</v>
      </c>
      <c r="G18" s="5">
        <v>111.12</v>
      </c>
      <c r="H18" s="37">
        <f t="shared" si="0"/>
        <v>-0.13486140076718231</v>
      </c>
      <c r="J18" s="43">
        <v>0.42599999999999999</v>
      </c>
      <c r="K18" s="43">
        <v>3.5418590433822304E-4</v>
      </c>
      <c r="L18" s="43">
        <v>0</v>
      </c>
      <c r="M18" s="43">
        <v>5.1636524369669246E-6</v>
      </c>
      <c r="N18" s="43">
        <v>0</v>
      </c>
      <c r="O18" s="43">
        <v>0</v>
      </c>
      <c r="P18" s="43">
        <v>3.253372425688246E-3</v>
      </c>
    </row>
    <row r="19" spans="1:16" x14ac:dyDescent="0.2">
      <c r="A19" s="29" t="s">
        <v>24</v>
      </c>
      <c r="B19" s="5">
        <v>4001</v>
      </c>
      <c r="C19" s="5">
        <v>694</v>
      </c>
      <c r="D19" s="5">
        <v>142070</v>
      </c>
      <c r="E19" s="5">
        <v>179802.04</v>
      </c>
      <c r="F19">
        <f>1/6491.91</f>
        <v>1.5403787175114874E-4</v>
      </c>
      <c r="G19" s="5">
        <f>330.7+42</f>
        <v>372.7</v>
      </c>
      <c r="H19" s="37">
        <f t="shared" si="0"/>
        <v>-0.10329006185887926</v>
      </c>
      <c r="J19" s="43">
        <v>0.81840000000000002</v>
      </c>
      <c r="K19" s="43">
        <v>0</v>
      </c>
      <c r="L19" s="43">
        <v>1.197384723025038E-3</v>
      </c>
      <c r="M19" s="43">
        <v>1.1896600423778666E-6</v>
      </c>
      <c r="N19" s="43">
        <v>0</v>
      </c>
      <c r="O19" s="43">
        <v>0</v>
      </c>
      <c r="P19" s="43">
        <v>2.0850681744585737E-3</v>
      </c>
    </row>
    <row r="20" spans="1:16" x14ac:dyDescent="0.2">
      <c r="A20" s="29" t="s">
        <v>27</v>
      </c>
      <c r="B20" s="5">
        <v>21365</v>
      </c>
      <c r="C20" s="5">
        <v>4314.78</v>
      </c>
      <c r="D20" s="5">
        <v>507890</v>
      </c>
      <c r="E20" s="5">
        <v>1998297</v>
      </c>
      <c r="F20">
        <f>1/106858.91</f>
        <v>9.3581340105378208E-6</v>
      </c>
      <c r="G20" s="5">
        <f>1192.44+1302.16</f>
        <v>2494.6000000000004</v>
      </c>
      <c r="H20" s="37">
        <f t="shared" si="0"/>
        <v>-0.980673977436054</v>
      </c>
      <c r="J20" s="43">
        <v>0.92800000000000005</v>
      </c>
      <c r="K20" s="43">
        <v>0</v>
      </c>
      <c r="L20" s="43">
        <v>2.0601453138184691E-4</v>
      </c>
      <c r="M20" s="43">
        <v>2.1873362398203334E-7</v>
      </c>
      <c r="N20" s="43">
        <v>0</v>
      </c>
      <c r="O20" s="43">
        <v>0</v>
      </c>
      <c r="P20" s="43">
        <v>3.7200918759611233E-4</v>
      </c>
    </row>
    <row r="21" spans="1:16" x14ac:dyDescent="0.2">
      <c r="A21" s="29" t="s">
        <v>28</v>
      </c>
      <c r="B21" s="5">
        <v>11982.5</v>
      </c>
      <c r="C21" s="5">
        <v>15652</v>
      </c>
      <c r="D21" s="5">
        <v>5887178</v>
      </c>
      <c r="E21" s="5">
        <v>5126580.62</v>
      </c>
      <c r="F21">
        <f>1/259744</f>
        <v>3.8499445607983244E-6</v>
      </c>
      <c r="G21" s="5">
        <f>965.7+519.07</f>
        <v>1484.77</v>
      </c>
      <c r="H21" s="37">
        <f t="shared" si="0"/>
        <v>-3.7284682910221347</v>
      </c>
      <c r="J21" s="43">
        <v>0.45569999999999999</v>
      </c>
      <c r="K21" s="43">
        <v>5.4544835137847459E-5</v>
      </c>
      <c r="L21" s="43">
        <v>2.1939833014574035E-5</v>
      </c>
      <c r="M21" s="43">
        <v>5.1200195010744796E-10</v>
      </c>
      <c r="N21" s="43">
        <v>0</v>
      </c>
      <c r="O21" s="43">
        <v>0</v>
      </c>
      <c r="P21" s="43">
        <v>3.0693837080438691E-4</v>
      </c>
    </row>
    <row r="22" spans="1:16" x14ac:dyDescent="0.2">
      <c r="A22" s="29" t="s">
        <v>29</v>
      </c>
      <c r="B22" s="5">
        <v>1772</v>
      </c>
      <c r="C22" s="5">
        <v>696</v>
      </c>
      <c r="D22" s="5">
        <v>92700</v>
      </c>
      <c r="E22" s="5">
        <v>146538.51</v>
      </c>
      <c r="F22">
        <f>1/6475.8</f>
        <v>1.5442107538836901E-4</v>
      </c>
      <c r="G22" s="5">
        <f>137.68+104.3</f>
        <v>241.98000000000002</v>
      </c>
      <c r="H22" s="37">
        <f t="shared" si="0"/>
        <v>-6.0991159164556483E-2</v>
      </c>
      <c r="J22" s="43">
        <v>0.76990000000000003</v>
      </c>
      <c r="K22" s="43">
        <v>3.2015705065187024E-4</v>
      </c>
      <c r="L22" s="43">
        <v>0</v>
      </c>
      <c r="M22" s="43">
        <v>4.6675480716816161E-6</v>
      </c>
      <c r="N22" s="43">
        <v>0</v>
      </c>
      <c r="O22" s="43">
        <v>0</v>
      </c>
      <c r="P22" s="43">
        <v>2.9408006013865134E-3</v>
      </c>
    </row>
    <row r="23" spans="1:16" x14ac:dyDescent="0.2">
      <c r="A23" s="25" t="s">
        <v>30</v>
      </c>
      <c r="B23" s="22">
        <v>345</v>
      </c>
      <c r="C23" s="22">
        <v>93</v>
      </c>
      <c r="D23" s="22">
        <v>38100</v>
      </c>
      <c r="E23" s="22">
        <v>11364.72</v>
      </c>
      <c r="F23" s="24">
        <f>1/702.47</f>
        <v>1.4235483365837686E-3</v>
      </c>
      <c r="G23" s="22">
        <f>6.35+49</f>
        <v>55.35</v>
      </c>
      <c r="H23" s="39">
        <f t="shared" si="0"/>
        <v>5.8286708792820718E-16</v>
      </c>
      <c r="I23" s="24"/>
      <c r="J23" s="43">
        <v>1</v>
      </c>
      <c r="K23" s="43">
        <v>2.7263177398171106E-3</v>
      </c>
      <c r="L23" s="43">
        <v>0</v>
      </c>
      <c r="M23" s="43">
        <v>0</v>
      </c>
      <c r="N23" s="43">
        <v>5.2284948298855465E-6</v>
      </c>
      <c r="O23" s="43">
        <v>166.59889908252973</v>
      </c>
      <c r="P23" s="43">
        <v>1.3782085173091513E-2</v>
      </c>
    </row>
    <row r="24" spans="1:16" x14ac:dyDescent="0.2">
      <c r="A24" s="29" t="s">
        <v>31</v>
      </c>
      <c r="B24" s="5">
        <v>1098</v>
      </c>
      <c r="C24" s="5">
        <v>293</v>
      </c>
      <c r="D24" s="5">
        <v>13500</v>
      </c>
      <c r="E24" s="5">
        <v>37944.58</v>
      </c>
      <c r="F24" s="5">
        <f>1/3106</f>
        <v>3.219575016097875E-4</v>
      </c>
      <c r="G24" s="5">
        <f>38.01+58</f>
        <v>96.009999999999991</v>
      </c>
      <c r="H24" s="37">
        <f t="shared" si="0"/>
        <v>-2.059480990029134E-2</v>
      </c>
      <c r="J24" s="43">
        <v>0.82410000000000005</v>
      </c>
      <c r="K24" s="43">
        <v>7.6921118130027178E-4</v>
      </c>
      <c r="L24" s="43">
        <v>0</v>
      </c>
      <c r="M24" s="43">
        <v>1.1309749530276657E-5</v>
      </c>
      <c r="N24" s="43">
        <v>7.1802198721577733E-8</v>
      </c>
      <c r="O24" s="43">
        <v>0</v>
      </c>
      <c r="P24" s="43">
        <v>7.1173647392831193E-3</v>
      </c>
    </row>
    <row r="25" spans="1:16" x14ac:dyDescent="0.2">
      <c r="A25" s="29" t="s">
        <v>32</v>
      </c>
      <c r="B25" s="5">
        <v>3368</v>
      </c>
      <c r="C25" s="5">
        <v>583</v>
      </c>
      <c r="D25" s="5">
        <v>8690.7000000000007</v>
      </c>
      <c r="E25" s="5">
        <v>325091.84000000003</v>
      </c>
      <c r="F25">
        <f>1/6753.1</f>
        <v>1.480801409722942E-4</v>
      </c>
      <c r="G25" s="5">
        <f>139.54+145.55</f>
        <v>285.09000000000003</v>
      </c>
      <c r="H25" s="37">
        <f t="shared" si="0"/>
        <v>-0.19602223828001086</v>
      </c>
      <c r="J25" s="43">
        <v>0.90629999999999999</v>
      </c>
      <c r="K25" s="43">
        <v>0</v>
      </c>
      <c r="L25" s="43">
        <v>1.6813125332941338E-3</v>
      </c>
      <c r="M25" s="43">
        <v>2.2776983545076709E-6</v>
      </c>
      <c r="N25" s="43">
        <v>0</v>
      </c>
      <c r="O25" s="43">
        <v>0</v>
      </c>
      <c r="P25" s="43">
        <v>2.8864551753402141E-3</v>
      </c>
    </row>
    <row r="26" spans="1:16" x14ac:dyDescent="0.2">
      <c r="A26" s="29" t="s">
        <v>33</v>
      </c>
      <c r="B26" s="5">
        <v>15642</v>
      </c>
      <c r="C26" s="5">
        <v>2954</v>
      </c>
      <c r="D26" s="5">
        <v>363050</v>
      </c>
      <c r="E26" s="5">
        <v>981312.19</v>
      </c>
      <c r="F26" s="5">
        <f>1/20656.48</f>
        <v>4.8410958691897168E-5</v>
      </c>
      <c r="G26" s="5">
        <f>594.07+739.66</f>
        <v>1333.73</v>
      </c>
      <c r="H26" s="37">
        <f t="shared" si="0"/>
        <v>-0.6079491120638334</v>
      </c>
      <c r="J26" s="43">
        <v>0.72119999999999995</v>
      </c>
      <c r="K26" s="43">
        <v>0</v>
      </c>
      <c r="L26" s="43">
        <v>2.9944922818421455E-4</v>
      </c>
      <c r="M26" s="43">
        <v>3.1793686804525699E-7</v>
      </c>
      <c r="N26" s="43">
        <v>0</v>
      </c>
      <c r="O26" s="43">
        <v>0</v>
      </c>
      <c r="P26" s="43">
        <v>5.4072818725887332E-4</v>
      </c>
    </row>
    <row r="27" spans="1:16" x14ac:dyDescent="0.2">
      <c r="A27" s="29" t="s">
        <v>34</v>
      </c>
      <c r="B27" s="5">
        <v>3564</v>
      </c>
      <c r="C27" s="5">
        <v>706.3</v>
      </c>
      <c r="D27" s="5">
        <v>181452</v>
      </c>
      <c r="E27" s="5">
        <v>123499.85</v>
      </c>
      <c r="F27">
        <f>1/6379.75</f>
        <v>1.5674595399506249E-4</v>
      </c>
      <c r="G27" s="5">
        <f>129.88+23.42</f>
        <v>153.30000000000001</v>
      </c>
      <c r="H27" s="37">
        <f t="shared" si="0"/>
        <v>-0.14689231863656627</v>
      </c>
      <c r="J27" s="43">
        <v>0.34189999999999998</v>
      </c>
      <c r="K27" s="43">
        <v>0</v>
      </c>
      <c r="L27" s="43">
        <v>1.0565136589978878E-3</v>
      </c>
      <c r="M27" s="43">
        <v>8.728235080646757E-7</v>
      </c>
      <c r="N27" s="43">
        <v>7.7254208377127781E-7</v>
      </c>
      <c r="O27" s="43">
        <v>0</v>
      </c>
      <c r="P27" s="43">
        <v>2.0578023663025313E-3</v>
      </c>
    </row>
    <row r="28" spans="1:16" x14ac:dyDescent="0.2">
      <c r="A28" s="25" t="s">
        <v>35</v>
      </c>
      <c r="B28" s="22">
        <v>5098.3</v>
      </c>
      <c r="C28" s="22">
        <v>971</v>
      </c>
      <c r="D28" s="22">
        <v>5087</v>
      </c>
      <c r="E28" s="22">
        <v>140795.94</v>
      </c>
      <c r="F28" s="24">
        <f>1/5455.89</f>
        <v>1.8328815280366722E-4</v>
      </c>
      <c r="G28" s="22">
        <f>528+12.72</f>
        <v>540.72</v>
      </c>
      <c r="H28" s="39">
        <f t="shared" si="0"/>
        <v>-2.8169157700374786E-2</v>
      </c>
      <c r="I28" s="24"/>
      <c r="J28" s="43">
        <v>1</v>
      </c>
      <c r="K28" s="43">
        <v>1.9326921016022295E-4</v>
      </c>
      <c r="L28" s="43">
        <v>0</v>
      </c>
      <c r="M28" s="43">
        <v>2.8809879772233638E-6</v>
      </c>
      <c r="N28" s="43">
        <v>0</v>
      </c>
      <c r="O28" s="43">
        <v>0</v>
      </c>
      <c r="P28" s="43">
        <v>1.7837438524199107E-3</v>
      </c>
    </row>
    <row r="29" spans="1:16" x14ac:dyDescent="0.2">
      <c r="A29" s="42" t="s">
        <v>37</v>
      </c>
      <c r="B29" s="40">
        <v>3296</v>
      </c>
      <c r="C29" s="40">
        <v>572</v>
      </c>
      <c r="D29" s="40">
        <v>175151</v>
      </c>
      <c r="E29" s="40">
        <v>44665.87</v>
      </c>
      <c r="F29" s="40">
        <f>1/2919.76</f>
        <v>3.4249390360851573E-4</v>
      </c>
      <c r="G29" s="40">
        <f>170.91+201</f>
        <v>371.90999999999997</v>
      </c>
      <c r="H29" s="41">
        <f t="shared" si="0"/>
        <v>-1.5820678100908481E-15</v>
      </c>
      <c r="I29" s="65"/>
      <c r="J29" s="43">
        <v>1</v>
      </c>
      <c r="K29" s="43">
        <v>2.139504116643125E-4</v>
      </c>
      <c r="L29" s="43">
        <v>0</v>
      </c>
      <c r="M29" s="43">
        <v>0</v>
      </c>
      <c r="N29" s="43">
        <v>6.6005530207835667E-6</v>
      </c>
      <c r="O29" s="43">
        <v>0</v>
      </c>
      <c r="P29" s="43">
        <v>2.6888225645989362E-3</v>
      </c>
    </row>
    <row r="30" spans="1:16" x14ac:dyDescent="0.2">
      <c r="A30" s="25" t="s">
        <v>38</v>
      </c>
      <c r="B30" s="22">
        <v>3951</v>
      </c>
      <c r="C30" s="22">
        <v>1168</v>
      </c>
      <c r="D30" s="22">
        <v>236700</v>
      </c>
      <c r="E30" s="22">
        <v>263051.15999999997</v>
      </c>
      <c r="F30" s="24">
        <f>1/4392.9</f>
        <v>2.2764005554417357E-4</v>
      </c>
      <c r="G30" s="22">
        <f>521+265</f>
        <v>786</v>
      </c>
      <c r="H30" s="39">
        <f t="shared" si="0"/>
        <v>0</v>
      </c>
      <c r="I30" s="24"/>
      <c r="J30" s="43">
        <v>1</v>
      </c>
      <c r="K30" s="43">
        <v>2.2608924511492487E-4</v>
      </c>
      <c r="L30" s="43">
        <v>9.0940971251935669E-5</v>
      </c>
      <c r="M30" s="43">
        <v>2.1222565638824984E-9</v>
      </c>
      <c r="N30" s="43">
        <v>0</v>
      </c>
      <c r="O30" s="43">
        <v>0</v>
      </c>
      <c r="P30" s="43">
        <v>1.2722646310432569E-3</v>
      </c>
    </row>
    <row r="31" spans="1:16" x14ac:dyDescent="0.2">
      <c r="A31" s="29" t="s">
        <v>39</v>
      </c>
      <c r="B31" s="5">
        <v>1793</v>
      </c>
      <c r="C31" s="5">
        <v>442</v>
      </c>
      <c r="D31" s="5">
        <v>165200</v>
      </c>
      <c r="E31" s="5">
        <v>68510.02</v>
      </c>
      <c r="F31">
        <f>1/6031.15</f>
        <v>1.6580585792096036E-4</v>
      </c>
      <c r="G31" s="5">
        <f>243.55+30</f>
        <v>273.55</v>
      </c>
      <c r="H31" s="37">
        <f t="shared" si="0"/>
        <v>-7.8098554108839702E-3</v>
      </c>
      <c r="J31" s="43">
        <v>0.96589999999999998</v>
      </c>
      <c r="K31" s="43">
        <v>1.6309267695626669E-4</v>
      </c>
      <c r="L31" s="43">
        <v>1.1073625935099514E-3</v>
      </c>
      <c r="M31" s="43">
        <v>0</v>
      </c>
      <c r="N31" s="43">
        <v>3.183776094154037E-6</v>
      </c>
      <c r="O31" s="43">
        <v>0</v>
      </c>
      <c r="P31" s="43">
        <v>3.5308838048617331E-3</v>
      </c>
    </row>
    <row r="32" spans="1:16" x14ac:dyDescent="0.2">
      <c r="A32" s="25" t="s">
        <v>40</v>
      </c>
      <c r="B32" s="22">
        <v>120</v>
      </c>
      <c r="C32" s="22">
        <v>45</v>
      </c>
      <c r="D32" s="22">
        <v>5112</v>
      </c>
      <c r="E32" s="22">
        <v>5137.62</v>
      </c>
      <c r="F32" s="22">
        <f>1/496.9</f>
        <v>2.0124773596297044E-3</v>
      </c>
      <c r="G32" s="22">
        <f>0.66+0.7</f>
        <v>1.3599999999999999</v>
      </c>
      <c r="H32" s="39">
        <f t="shared" si="0"/>
        <v>-6.9785306628721965E-3</v>
      </c>
      <c r="I32" s="24"/>
      <c r="J32" s="43">
        <v>1</v>
      </c>
      <c r="K32" s="43">
        <v>8.3333333333333332E-3</v>
      </c>
      <c r="L32" s="43">
        <v>0</v>
      </c>
      <c r="M32" s="43">
        <v>0</v>
      </c>
      <c r="N32" s="43">
        <v>0</v>
      </c>
      <c r="O32" s="43">
        <v>496.899999988503</v>
      </c>
      <c r="P32" s="43">
        <v>0</v>
      </c>
    </row>
    <row r="33" spans="1:16" x14ac:dyDescent="0.2">
      <c r="A33" s="33" t="s">
        <v>41</v>
      </c>
      <c r="B33" s="30">
        <v>12914</v>
      </c>
      <c r="C33" s="30">
        <v>3799</v>
      </c>
      <c r="D33" s="30">
        <v>767834</v>
      </c>
      <c r="E33" s="30">
        <v>811190.19</v>
      </c>
      <c r="F33" s="31">
        <f>1/49848.29</f>
        <v>2.0060868687772439E-5</v>
      </c>
      <c r="G33" s="6">
        <f>730.65+540.35</f>
        <v>1271</v>
      </c>
      <c r="H33" s="38">
        <f t="shared" si="0"/>
        <v>-0.48961257315662432</v>
      </c>
      <c r="J33" s="43">
        <v>0.51039999999999996</v>
      </c>
      <c r="K33" s="43">
        <v>3.0406489876016268E-5</v>
      </c>
      <c r="L33" s="43">
        <v>0</v>
      </c>
      <c r="M33" s="43">
        <v>1.1804429818706344E-7</v>
      </c>
      <c r="N33" s="43">
        <v>6.3695563686114156E-7</v>
      </c>
      <c r="O33" s="43">
        <v>0</v>
      </c>
      <c r="P33" s="43">
        <v>4.0156367178865174E-4</v>
      </c>
    </row>
    <row r="35" spans="1:16" x14ac:dyDescent="0.2">
      <c r="A35" s="1" t="s">
        <v>9</v>
      </c>
      <c r="B35" s="2">
        <v>32</v>
      </c>
      <c r="F35" s="1" t="s">
        <v>12</v>
      </c>
      <c r="G35" s="36">
        <f>SUMPRODUCT(INDEX(F2:G33,B35,0),F37:G37)+B39</f>
        <v>0.51038742684337635</v>
      </c>
    </row>
    <row r="36" spans="1:16" x14ac:dyDescent="0.2">
      <c r="J36" s="1" t="s">
        <v>49</v>
      </c>
      <c r="K36" s="18"/>
    </row>
    <row r="37" spans="1:16" x14ac:dyDescent="0.2">
      <c r="A37" s="1" t="s">
        <v>11</v>
      </c>
      <c r="B37" s="3">
        <v>3.0406489876016301E-5</v>
      </c>
      <c r="C37" s="3">
        <v>0</v>
      </c>
      <c r="D37" s="3">
        <v>1.1804429818706344E-7</v>
      </c>
      <c r="E37" s="3">
        <v>6.3695563686114156E-7</v>
      </c>
      <c r="F37" s="3">
        <v>0</v>
      </c>
      <c r="G37" s="4">
        <v>4.0156367178865174E-4</v>
      </c>
    </row>
    <row r="39" spans="1:16" x14ac:dyDescent="0.2">
      <c r="A39" s="32" t="s">
        <v>50</v>
      </c>
      <c r="B39" s="34">
        <v>0</v>
      </c>
      <c r="F39" s="1" t="s">
        <v>13</v>
      </c>
      <c r="G39" s="4">
        <f>SUMPRODUCT(INDEX(B2:E33,B35,0),B37:E37)</f>
        <v>1.0000000000000007</v>
      </c>
      <c r="J39" t="s">
        <v>53</v>
      </c>
      <c r="K39">
        <f>AVERAGE(J2:J33)</f>
        <v>0.69245312500000011</v>
      </c>
    </row>
    <row r="40" spans="1:16" x14ac:dyDescent="0.2">
      <c r="J40" t="s">
        <v>52</v>
      </c>
      <c r="K40">
        <f>MEDIAN(J2:J33)</f>
        <v>0.79415000000000002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heet2.Efficiency_2">
                <anchor moveWithCells="1" sizeWithCells="1">
                  <from>
                    <xdr:col>7</xdr:col>
                    <xdr:colOff>190500</xdr:colOff>
                    <xdr:row>35</xdr:row>
                    <xdr:rowOff>12700</xdr:rowOff>
                  </from>
                  <to>
                    <xdr:col>8</xdr:col>
                    <xdr:colOff>152400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CCR</vt:lpstr>
      <vt:lpstr>BCC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Юлия Гребешок</cp:lastModifiedBy>
  <dcterms:created xsi:type="dcterms:W3CDTF">2023-05-14T00:17:06Z</dcterms:created>
  <dcterms:modified xsi:type="dcterms:W3CDTF">2024-01-30T08:37:49Z</dcterms:modified>
</cp:coreProperties>
</file>